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Environnement" sheetId="2" state="visible" r:id="rId2"/>
    <sheet xmlns:r="http://schemas.openxmlformats.org/officeDocument/2006/relationships" name="Plan de test" sheetId="3" state="visible" r:id="rId3"/>
    <sheet xmlns:r="http://schemas.openxmlformats.org/officeDocument/2006/relationships" name="Synthèse" sheetId="4" state="visible" r:id="rId4"/>
  </sheets>
  <definedNames>
    <definedName name="_xlnm._FilterDatabase" localSheetId="2" hidden="1">'Plan de test'!$A$1:$L$147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sz val="10"/>
    </font>
    <font>
      <name val="Arial"/>
      <b val="1"/>
      <sz val="10"/>
    </font>
    <font>
      <name val="Arial"/>
      <b val="1"/>
      <color rgb="001F3864"/>
      <sz val="14"/>
    </font>
    <font>
      <name val="Arial"/>
      <color rgb="00808080"/>
      <sz val="10"/>
    </font>
    <font>
      <name val="Arial"/>
      <color rgb="00000000"/>
      <sz val="10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5" fillId="3" borderId="1" pivotButton="0" quotePrefix="0" xfId="0"/>
    <xf numFmtId="0" fontId="6" fillId="3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2" fillId="0" borderId="1" pivotButton="0" quotePrefix="0" xfId="0"/>
    <xf numFmtId="164" fontId="2" fillId="0" borderId="1" pivotButton="0" quotePrefix="0" xfId="0"/>
    <xf numFmtId="0" fontId="3" fillId="5" borderId="1" pivotButton="0" quotePrefix="0" xfId="0"/>
    <xf numFmtId="164" fontId="3" fillId="5" borderId="1" pivotButton="0" quotePrefix="0" xfId="0"/>
    <xf numFmtId="164" fontId="3" fillId="0" borderId="0" pivotButton="0" quotePrefix="0" xfId="0"/>
    <xf numFmtId="0" fontId="12" fillId="0" borderId="0" pivotButton="0" quotePrefix="0" xfId="0"/>
    <xf numFmtId="0" fontId="2" fillId="0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Plan de test Anubis — du bot au dashboard</t>
        </is>
      </c>
    </row>
    <row r="2">
      <c r="A2" s="2" t="inlineStr"/>
    </row>
    <row r="3">
      <c r="A3" s="2" t="inlineStr">
        <is>
          <t>Ce classeur couvre le parcours complet d'Anubis : déploiement, authentification, modération depuis</t>
        </is>
      </c>
    </row>
    <row r="4">
      <c r="A4" s="2" t="inlineStr">
        <is>
          <t>Discord et depuis le dashboard, tickets, salons vocaux, expérience, automodération, anti-raid,</t>
        </is>
      </c>
    </row>
    <row r="5">
      <c r="A5" s="2" t="inlineStr">
        <is>
          <t>quarantaine, concours, messages composés, wiki, journaux, synchronisation et interface.</t>
        </is>
      </c>
    </row>
    <row r="6">
      <c r="A6" s="2" t="inlineStr"/>
    </row>
    <row r="7">
      <c r="A7" s="3" t="inlineStr">
        <is>
          <t>COMMENT S'EN SERVIR</t>
        </is>
      </c>
    </row>
    <row r="8">
      <c r="A8" s="2" t="inlineStr">
        <is>
          <t xml:space="preserve">  1. Renseigner la feuille « Environnement » avant de commencer : on ne sait plus, trois jours plus tard,</t>
        </is>
      </c>
    </row>
    <row r="9">
      <c r="A9" s="2" t="inlineStr">
        <is>
          <t xml:space="preserve">     quelle version a été testée.</t>
        </is>
      </c>
    </row>
    <row r="10">
      <c r="A10" s="2" t="inlineStr">
        <is>
          <t xml:space="preserve">  2. Dérouler la feuille « Plan de test » dans l'ordre. Les cas d'un même domaine se suivent et</t>
        </is>
      </c>
    </row>
    <row r="11">
      <c r="A11" s="2" t="inlineStr">
        <is>
          <t xml:space="preserve">     s'appuient souvent sur le précédent.</t>
        </is>
      </c>
    </row>
    <row r="12">
      <c r="A12" s="2" t="inlineStr">
        <is>
          <t xml:space="preserve">  3. Remplir les colonnes de suivi (fond jaune) : Statut, Testé par, Date, Anomalie.</t>
        </is>
      </c>
    </row>
    <row r="13">
      <c r="A13" s="2" t="inlineStr">
        <is>
          <t xml:space="preserve">  4. La feuille « Synthèse » se met à jour toute seule.</t>
        </is>
      </c>
    </row>
    <row r="14">
      <c r="A14" s="2" t="inlineStr"/>
    </row>
    <row r="15">
      <c r="A15" s="3" t="inlineStr">
        <is>
          <t>CE QUE VEULENT DIRE LES STATUTS</t>
        </is>
      </c>
    </row>
    <row r="16">
      <c r="A16" s="2" t="inlineStr">
        <is>
          <t xml:space="preserve">  À tester        le cas n'a pas encore été joué</t>
        </is>
      </c>
    </row>
    <row r="17">
      <c r="A17" s="2" t="inlineStr">
        <is>
          <t xml:space="preserve">  OK              le résultat obtenu correspond au résultat attendu</t>
        </is>
      </c>
    </row>
    <row r="18">
      <c r="A18" s="2" t="inlineStr">
        <is>
          <t xml:space="preserve">  KO              le résultat diffère — décrire précisément dans la colonne Anomalie</t>
        </is>
      </c>
    </row>
    <row r="19">
      <c r="A19" s="2" t="inlineStr">
        <is>
          <t xml:space="preserve">  Bloqué          le cas n'a pas pu être joué (prérequis absent, environnement indisponible)</t>
        </is>
      </c>
    </row>
    <row r="20">
      <c r="A20" s="2" t="inlineStr">
        <is>
          <t xml:space="preserve">  Non applicable  la fonctionnalité n'est pas activée sur ce serveur</t>
        </is>
      </c>
    </row>
    <row r="21">
      <c r="A21" s="2" t="inlineStr"/>
    </row>
    <row r="22">
      <c r="A22" s="3" t="inlineStr">
        <is>
          <t>PRIORITÉS</t>
        </is>
      </c>
    </row>
    <row r="23">
      <c r="A23" s="2" t="inlineStr">
        <is>
          <t xml:space="preserve">  Critique  une régression ici empêche d'exploiter le serveur. À rejouer à chaque mise en production.</t>
        </is>
      </c>
    </row>
    <row r="24">
      <c r="A24" s="2" t="inlineStr">
        <is>
          <t xml:space="preserve">  Majeure   une régression dégrade le travail quotidien de l'équipe.</t>
        </is>
      </c>
    </row>
    <row r="25">
      <c r="A25" s="2" t="inlineStr">
        <is>
          <t xml:space="preserve">  Mineure   confort, cas limite, ou comportement déjà documenté comme tel.</t>
        </is>
      </c>
    </row>
    <row r="26">
      <c r="A26" s="2" t="inlineStr"/>
    </row>
    <row r="27">
      <c r="A27" s="3" t="inlineStr">
        <is>
          <t>AVANT DE DÉCLARER UN CAS KO</t>
        </is>
      </c>
    </row>
    <row r="28">
      <c r="A28" s="2" t="inlineStr">
        <is>
          <t xml:space="preserve">  Vérifier que le bot tourne, que les migrations sont appliquées, et que le compte utilisé porte bien</t>
        </is>
      </c>
    </row>
    <row r="29">
      <c r="A29" s="2" t="inlineStr">
        <is>
          <t xml:space="preserve">  la permission nécessaire. Ces trois causes expliquent la grande majorité des faux KO.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4" t="inlineStr">
        <is>
          <t>Environnement de la campagne</t>
        </is>
      </c>
    </row>
    <row r="3">
      <c r="A3" s="5" t="inlineStr">
        <is>
          <t>Date de la campagne</t>
        </is>
      </c>
      <c r="B3" s="6" t="inlineStr">
        <is>
          <t>jj/mm/aaaa</t>
        </is>
      </c>
    </row>
    <row r="4">
      <c r="A4" s="5" t="inlineStr">
        <is>
          <t>Testeur principal</t>
        </is>
      </c>
      <c r="B4" s="7" t="inlineStr"/>
    </row>
    <row r="5">
      <c r="A5" s="5" t="inlineStr">
        <is>
          <t>Environnement</t>
        </is>
      </c>
      <c r="B5" s="6" t="inlineStr">
        <is>
          <t>Production / Pré-production / Local</t>
        </is>
      </c>
    </row>
    <row r="6">
      <c r="A6" s="5" t="inlineStr">
        <is>
          <t>URL du dashboard</t>
        </is>
      </c>
      <c r="B6" s="7" t="inlineStr"/>
    </row>
    <row r="7">
      <c r="A7" s="5" t="inlineStr">
        <is>
          <t>Branche Git</t>
        </is>
      </c>
      <c r="B7" s="7" t="inlineStr"/>
    </row>
    <row r="8">
      <c r="A8" s="5" t="inlineStr">
        <is>
          <t>Commit déployé</t>
        </is>
      </c>
      <c r="B8" s="7" t="inlineStr"/>
    </row>
    <row r="9">
      <c r="A9" s="5" t="inlineStr">
        <is>
          <t>Serveur Discord de test</t>
        </is>
      </c>
      <c r="B9" s="7" t="inlineStr"/>
    </row>
    <row r="10">
      <c r="A10" s="5" t="inlineStr">
        <is>
          <t>Dernière migration appliquée</t>
        </is>
      </c>
      <c r="B10" s="7" t="inlineStr"/>
    </row>
    <row r="11">
      <c r="A11" s="5" t="inlineStr">
        <is>
          <t>Double authentification activée</t>
        </is>
      </c>
      <c r="B11" s="6" t="inlineStr">
        <is>
          <t>oui / non</t>
        </is>
      </c>
    </row>
    <row r="12">
      <c r="A12" s="5" t="inlineStr">
        <is>
          <t>Vérification Battle.net activée</t>
        </is>
      </c>
      <c r="B12" s="6" t="inlineStr">
        <is>
          <t>oui / non</t>
        </is>
      </c>
    </row>
    <row r="13">
      <c r="A13" s="5" t="inlineStr">
        <is>
          <t>Remarques</t>
        </is>
      </c>
      <c r="B13" s="7" t="inlineStr"/>
    </row>
    <row r="16">
      <c r="A16" s="8" t="inlineStr">
        <is>
          <t>Les cellules sur fond jaune sont à remplir. Les textes en gris sont des exemples de format.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1" customWidth="1" min="4" max="4"/>
    <col width="30" customWidth="1" min="5" max="5"/>
    <col width="46" customWidth="1" min="6" max="6"/>
    <col width="50" customWidth="1" min="7" max="7"/>
    <col width="24" customWidth="1" min="8" max="8"/>
    <col width="14" customWidth="1" min="9" max="9"/>
    <col width="14" customWidth="1" min="10" max="10"/>
    <col width="12" customWidth="1" min="11" max="11"/>
    <col width="40" customWidth="1" min="12" max="12"/>
  </cols>
  <sheetData>
    <row r="1" ht="30" customHeight="1">
      <c r="A1" s="9" t="inlineStr">
        <is>
          <t>ID</t>
        </is>
      </c>
      <c r="B1" s="9" t="inlineStr">
        <is>
          <t>Domaine</t>
        </is>
      </c>
      <c r="C1" s="9" t="inlineStr">
        <is>
          <t>Cas de test</t>
        </is>
      </c>
      <c r="D1" s="9" t="inlineStr">
        <is>
          <t>Priorité</t>
        </is>
      </c>
      <c r="E1" s="9" t="inlineStr">
        <is>
          <t>Prérequis</t>
        </is>
      </c>
      <c r="F1" s="9" t="inlineStr">
        <is>
          <t>Étapes</t>
        </is>
      </c>
      <c r="G1" s="9" t="inlineStr">
        <is>
          <t>Résultat attendu</t>
        </is>
      </c>
      <c r="H1" s="9" t="inlineStr">
        <is>
          <t>Où vérifier</t>
        </is>
      </c>
      <c r="I1" s="9" t="inlineStr">
        <is>
          <t>Statut</t>
        </is>
      </c>
      <c r="J1" s="9" t="inlineStr">
        <is>
          <t>Testé par</t>
        </is>
      </c>
      <c r="K1" s="9" t="inlineStr">
        <is>
          <t>Date</t>
        </is>
      </c>
      <c r="L1" s="9" t="inlineStr">
        <is>
          <t>Anomalie / remarque</t>
        </is>
      </c>
    </row>
    <row r="2">
      <c r="A2" s="10" t="inlineStr">
        <is>
          <t>EX-00</t>
        </is>
      </c>
      <c r="B2" s="10" t="inlineStr">
        <is>
          <t>(exemple)</t>
        </is>
      </c>
      <c r="C2" s="10" t="inlineStr">
        <is>
          <t>Ligne d'exemple, à supprimer avant la campagne</t>
        </is>
      </c>
      <c r="D2" s="10" t="inlineStr">
        <is>
          <t>Mineure</t>
        </is>
      </c>
      <c r="E2" s="10" t="inlineStr">
        <is>
          <t>Aucun</t>
        </is>
      </c>
      <c r="F2" s="10" t="inlineStr">
        <is>
          <t>Lire cette ligne.</t>
        </is>
      </c>
      <c r="G2" s="10" t="inlineStr">
        <is>
          <t>Le format attendu des colonnes de suivi est clair.</t>
        </is>
      </c>
      <c r="H2" s="10" t="inlineStr">
        <is>
          <t>—</t>
        </is>
      </c>
      <c r="I2" s="10" t="inlineStr">
        <is>
          <t>OK</t>
        </is>
      </c>
      <c r="J2" s="10" t="inlineStr">
        <is>
          <t>Prénom N.</t>
        </is>
      </c>
      <c r="K2" s="10" t="inlineStr">
        <is>
          <t>09/10/2026</t>
        </is>
      </c>
      <c r="L2" s="10" t="inlineStr">
        <is>
          <t>RAS. Décrire ici ce qui diffère du résultat attendu, et joindre une capture.</t>
        </is>
      </c>
    </row>
    <row r="3">
      <c r="A3" s="11" t="inlineStr">
        <is>
          <t>DÉP-01</t>
        </is>
      </c>
      <c r="B3" s="12" t="inlineStr">
        <is>
          <t>Déploiement</t>
        </is>
      </c>
      <c r="C3" s="12" t="inlineStr">
        <is>
          <t>Migrations appliquées</t>
        </is>
      </c>
      <c r="D3" s="13" t="inlineStr">
        <is>
          <t>Critique</t>
        </is>
      </c>
      <c r="E3" s="12" t="inlineStr">
        <is>
          <t>Accès au conteneur api</t>
        </is>
      </c>
      <c r="F3" s="12" t="inlineStr">
        <is>
          <t>Lancer `npm run db:deploy` sur le conteneur api.</t>
        </is>
      </c>
      <c r="G3" s="12" t="inlineStr">
        <is>
          <t>Toutes les migrations passent ; aucune n'est en attente. Un second appel ne fait rien.</t>
        </is>
      </c>
      <c r="H3" s="12" t="inlineStr">
        <is>
          <t>Sortie de la commande</t>
        </is>
      </c>
      <c r="I3" s="14" t="inlineStr">
        <is>
          <t>À tester</t>
        </is>
      </c>
      <c r="J3" s="15" t="inlineStr"/>
      <c r="K3" s="14" t="inlineStr"/>
      <c r="L3" s="15" t="inlineStr"/>
    </row>
    <row r="4">
      <c r="A4" s="11" t="inlineStr">
        <is>
          <t>DÉP-02</t>
        </is>
      </c>
      <c r="B4" s="12" t="inlineStr">
        <is>
          <t>Déploiement</t>
        </is>
      </c>
      <c r="C4" s="12" t="inlineStr">
        <is>
          <t>API démarre et répond</t>
        </is>
      </c>
      <c r="D4" s="13" t="inlineStr">
        <is>
          <t>Critique</t>
        </is>
      </c>
      <c r="E4" s="12" t="inlineStr">
        <is>
          <t>Migrations appliquées</t>
        </is>
      </c>
      <c r="F4" s="12" t="inlineStr">
        <is>
          <t>Ouvrir `/api/health`.</t>
        </is>
      </c>
      <c r="G4" s="12" t="inlineStr">
        <is>
          <t>Réponse 200. Les logs affichent « Connexion PostgreSQL établie » et le serveur administré.</t>
        </is>
      </c>
      <c r="H4" s="12" t="inlineStr">
        <is>
          <t>Logs api</t>
        </is>
      </c>
      <c r="I4" s="14" t="inlineStr">
        <is>
          <t>À tester</t>
        </is>
      </c>
      <c r="J4" s="15" t="inlineStr"/>
      <c r="K4" s="14" t="inlineStr"/>
      <c r="L4" s="15" t="inlineStr"/>
    </row>
    <row r="5">
      <c r="A5" s="11" t="inlineStr">
        <is>
          <t>DÉP-03</t>
        </is>
      </c>
      <c r="B5" s="12" t="inlineStr">
        <is>
          <t>Déploiement</t>
        </is>
      </c>
      <c r="C5" s="12" t="inlineStr">
        <is>
          <t>Variables Battle.net cohérentes</t>
        </is>
      </c>
      <c r="D5" s="16" t="inlineStr">
        <is>
          <t>Majeure</t>
        </is>
      </c>
      <c r="E5" s="12" t="inlineStr">
        <is>
          <t>Accès aux variables d'environnement</t>
        </is>
      </c>
      <c r="F5" s="12" t="inlineStr">
        <is>
          <t>Vérifier que BATTLENET_CLIENT_ID, _SECRET et _REDIRECT_URI sont posées ensemble, ou aucune.</t>
        </is>
      </c>
      <c r="G5" s="12" t="inlineStr">
        <is>
          <t>Avec les trois : la vérification est disponible. Avec zéro : elle se déclare indisponible sans erreur.</t>
        </is>
      </c>
      <c r="H5" s="12" t="inlineStr">
        <is>
          <t>Dashboard &gt; Quarantaine</t>
        </is>
      </c>
      <c r="I5" s="14" t="inlineStr">
        <is>
          <t>À tester</t>
        </is>
      </c>
      <c r="J5" s="15" t="inlineStr"/>
      <c r="K5" s="14" t="inlineStr"/>
      <c r="L5" s="15" t="inlineStr"/>
    </row>
    <row r="6">
      <c r="A6" s="11" t="inlineStr">
        <is>
          <t>DÉP-04</t>
        </is>
      </c>
      <c r="B6" s="12" t="inlineStr">
        <is>
          <t>Déploiement</t>
        </is>
      </c>
      <c r="C6" s="12" t="inlineStr">
        <is>
          <t>Intents Discord activés</t>
        </is>
      </c>
      <c r="D6" s="13" t="inlineStr">
        <is>
          <t>Critique</t>
        </is>
      </c>
      <c r="E6" s="12" t="inlineStr">
        <is>
          <t>Accès au portail développeur Discord</t>
        </is>
      </c>
      <c r="F6" s="12" t="inlineStr">
        <is>
          <t>Vérifier GuildMembers et MessageContent dans le portail ; vérifier la présence de GuildModeration et GuildMessageReactions dans le code.</t>
        </is>
      </c>
      <c r="G6" s="12" t="inlineStr">
        <is>
          <t>Le bot se connecte. Les bannissements et les réactions de concours remontent.</t>
        </is>
      </c>
      <c r="H6" s="12" t="inlineStr">
        <is>
          <t>Logs bot au démarrage</t>
        </is>
      </c>
      <c r="I6" s="14" t="inlineStr">
        <is>
          <t>À tester</t>
        </is>
      </c>
      <c r="J6" s="15" t="inlineStr"/>
      <c r="K6" s="14" t="inlineStr"/>
      <c r="L6" s="15" t="inlineStr"/>
    </row>
    <row r="7">
      <c r="A7" s="11" t="inlineStr">
        <is>
          <t>DÉP-05</t>
        </is>
      </c>
      <c r="B7" s="12" t="inlineStr">
        <is>
          <t>Déploiement</t>
        </is>
      </c>
      <c r="C7" s="12" t="inlineStr">
        <is>
          <t>Permissions Discord du bot</t>
        </is>
      </c>
      <c r="D7" s="13" t="inlineStr">
        <is>
          <t>Critique</t>
        </is>
      </c>
      <c r="E7" s="12" t="inlineStr">
        <is>
          <t>Bot invité sur le serveur</t>
        </is>
      </c>
      <c r="F7" s="12" t="inlineStr">
        <is>
          <t>Lancer `/setup` et lire la liste des manques.</t>
        </is>
      </c>
      <c r="G7" s="12" t="inlineStr">
        <is>
          <t>Aucune permission manquante signalée, « Voir le journal d'audit » comprise.</t>
        </is>
      </c>
      <c r="H7" s="12" t="inlineStr">
        <is>
          <t>Réponse de /setup</t>
        </is>
      </c>
      <c r="I7" s="14" t="inlineStr">
        <is>
          <t>À tester</t>
        </is>
      </c>
      <c r="J7" s="15" t="inlineStr"/>
      <c r="K7" s="14" t="inlineStr"/>
      <c r="L7" s="15" t="inlineStr"/>
    </row>
    <row r="8">
      <c r="A8" s="11" t="inlineStr">
        <is>
          <t>DÉP-06</t>
        </is>
      </c>
      <c r="B8" s="12" t="inlineStr">
        <is>
          <t>Déploiement</t>
        </is>
      </c>
      <c r="C8" s="12" t="inlineStr">
        <is>
          <t>Bot démarre et synchronise</t>
        </is>
      </c>
      <c r="D8" s="13" t="inlineStr">
        <is>
          <t>Critique</t>
        </is>
      </c>
      <c r="E8" s="12" t="inlineStr">
        <is>
          <t>BOT_TOKEN valide</t>
        </is>
      </c>
      <c r="F8" s="12" t="inlineStr">
        <is>
          <t>Démarrer le bot et lire les logs.</t>
        </is>
      </c>
      <c r="G8" s="12" t="inlineStr">
        <is>
          <t>Synchronisation complète du serveur au démarrage : rôles, salons, membres. Aucune erreur Prisma.</t>
        </is>
      </c>
      <c r="H8" s="12" t="inlineStr">
        <is>
          <t>Logs bot</t>
        </is>
      </c>
      <c r="I8" s="14" t="inlineStr">
        <is>
          <t>À tester</t>
        </is>
      </c>
      <c r="J8" s="15" t="inlineStr"/>
      <c r="K8" s="14" t="inlineStr"/>
      <c r="L8" s="15" t="inlineStr"/>
    </row>
    <row r="9">
      <c r="A9" s="11" t="inlineStr">
        <is>
          <t>AUT-01</t>
        </is>
      </c>
      <c r="B9" s="12" t="inlineStr">
        <is>
          <t>Authentification</t>
        </is>
      </c>
      <c r="C9" s="12" t="inlineStr">
        <is>
          <t>Connexion avec identifiants valides</t>
        </is>
      </c>
      <c r="D9" s="13" t="inlineStr">
        <is>
          <t>Critique</t>
        </is>
      </c>
      <c r="E9" s="12" t="inlineStr">
        <is>
          <t>Un compte dashboard actif</t>
        </is>
      </c>
      <c r="F9" s="12" t="inlineStr">
        <is>
          <t>Ouvrir /connexion, saisir identifiant et mot de passe, valider.</t>
        </is>
      </c>
      <c r="G9" s="12" t="inlineStr">
        <is>
          <t>Redirection vers la vue d'ensemble. Le nom du compte s'affiche en haut à droite.</t>
        </is>
      </c>
      <c r="H9" s="12" t="inlineStr">
        <is>
          <t>Dashboard</t>
        </is>
      </c>
      <c r="I9" s="14" t="inlineStr">
        <is>
          <t>À tester</t>
        </is>
      </c>
      <c r="J9" s="15" t="inlineStr"/>
      <c r="K9" s="14" t="inlineStr"/>
      <c r="L9" s="15" t="inlineStr"/>
    </row>
    <row r="10">
      <c r="A10" s="11" t="inlineStr">
        <is>
          <t>AUT-02</t>
        </is>
      </c>
      <c r="B10" s="12" t="inlineStr">
        <is>
          <t>Authentification</t>
        </is>
      </c>
      <c r="C10" s="12" t="inlineStr">
        <is>
          <t>Mot de passe erroné</t>
        </is>
      </c>
      <c r="D10" s="13" t="inlineStr">
        <is>
          <t>Critique</t>
        </is>
      </c>
      <c r="E10" s="12" t="inlineStr">
        <is>
          <t>Un compte dashboard actif</t>
        </is>
      </c>
      <c r="F10" s="12" t="inlineStr">
        <is>
          <t>Saisir un mot de passe faux.</t>
        </is>
      </c>
      <c r="G10" s="12" t="inlineStr">
        <is>
          <t>Message d'erreur générique. Rien n'indique si l'identifiant existe.</t>
        </is>
      </c>
      <c r="H10" s="12" t="inlineStr">
        <is>
          <t>Page de connexion</t>
        </is>
      </c>
      <c r="I10" s="14" t="inlineStr">
        <is>
          <t>À tester</t>
        </is>
      </c>
      <c r="J10" s="15" t="inlineStr"/>
      <c r="K10" s="14" t="inlineStr"/>
      <c r="L10" s="15" t="inlineStr"/>
    </row>
    <row r="11">
      <c r="A11" s="11" t="inlineStr">
        <is>
          <t>AUT-03</t>
        </is>
      </c>
      <c r="B11" s="12" t="inlineStr">
        <is>
          <t>Authentification</t>
        </is>
      </c>
      <c r="C11" s="12" t="inlineStr">
        <is>
          <t>Identifiant inexistant</t>
        </is>
      </c>
      <c r="D11" s="16" t="inlineStr">
        <is>
          <t>Majeure</t>
        </is>
      </c>
      <c r="E11" s="12" t="inlineStr">
        <is>
          <t>—</t>
        </is>
      </c>
      <c r="F11" s="12" t="inlineStr">
        <is>
          <t>Saisir un identifiant qui n'existe pas et chronométrer la réponse.</t>
        </is>
      </c>
      <c r="G11" s="12" t="inlineStr">
        <is>
          <t>Même message et même ordre de temps de réponse qu'un mot de passe erroné.</t>
        </is>
      </c>
      <c r="H11" s="12" t="inlineStr">
        <is>
          <t>Page de connexion</t>
        </is>
      </c>
      <c r="I11" s="14" t="inlineStr">
        <is>
          <t>À tester</t>
        </is>
      </c>
      <c r="J11" s="15" t="inlineStr"/>
      <c r="K11" s="14" t="inlineStr"/>
      <c r="L11" s="15" t="inlineStr"/>
    </row>
    <row r="12">
      <c r="A12" s="11" t="inlineStr">
        <is>
          <t>AUT-04</t>
        </is>
      </c>
      <c r="B12" s="12" t="inlineStr">
        <is>
          <t>Authentification</t>
        </is>
      </c>
      <c r="C12" s="12" t="inlineStr">
        <is>
          <t>Verrouillage après 5 échecs</t>
        </is>
      </c>
      <c r="D12" s="13" t="inlineStr">
        <is>
          <t>Critique</t>
        </is>
      </c>
      <c r="E12" s="12" t="inlineStr">
        <is>
          <t>Un compte de test</t>
        </is>
      </c>
      <c r="F12" s="12" t="inlineStr">
        <is>
          <t>Échouer 5 fois de suite, puis saisir le bon mot de passe.</t>
        </is>
      </c>
      <c r="G12" s="12" t="inlineStr">
        <is>
          <t>Le compte est verrouillé 15 minutes. Le verrouillage n'est annoncé qu'après un mot de passe correct.</t>
        </is>
      </c>
      <c r="H12" s="12" t="inlineStr">
        <is>
          <t>Page de connexion / Dashboard &gt; Comptes</t>
        </is>
      </c>
      <c r="I12" s="14" t="inlineStr">
        <is>
          <t>À tester</t>
        </is>
      </c>
      <c r="J12" s="15" t="inlineStr"/>
      <c r="K12" s="14" t="inlineStr"/>
      <c r="L12" s="15" t="inlineStr"/>
    </row>
    <row r="13">
      <c r="A13" s="11" t="inlineStr">
        <is>
          <t>AUT-05</t>
        </is>
      </c>
      <c r="B13" s="12" t="inlineStr">
        <is>
          <t>Authentification</t>
        </is>
      </c>
      <c r="C13" s="12" t="inlineStr">
        <is>
          <t>Déverrouillage par un administrateur</t>
        </is>
      </c>
      <c r="D13" s="16" t="inlineStr">
        <is>
          <t>Majeure</t>
        </is>
      </c>
      <c r="E13" s="12" t="inlineStr">
        <is>
          <t>Un compte verrouillé</t>
        </is>
      </c>
      <c r="F13" s="12" t="inlineStr">
        <is>
          <t>Dashboard &gt; Comptes &gt; Déverrouiller.</t>
        </is>
      </c>
      <c r="G13" s="12" t="inlineStr">
        <is>
          <t>Le compte peut se reconnecter immédiatement.</t>
        </is>
      </c>
      <c r="H13" s="12" t="inlineStr">
        <is>
          <t>Dashboard &gt; Comptes</t>
        </is>
      </c>
      <c r="I13" s="14" t="inlineStr">
        <is>
          <t>À tester</t>
        </is>
      </c>
      <c r="J13" s="15" t="inlineStr"/>
      <c r="K13" s="14" t="inlineStr"/>
      <c r="L13" s="15" t="inlineStr"/>
    </row>
    <row r="14">
      <c r="A14" s="11" t="inlineStr">
        <is>
          <t>AUT-06</t>
        </is>
      </c>
      <c r="B14" s="12" t="inlineStr">
        <is>
          <t>Authentification</t>
        </is>
      </c>
      <c r="C14" s="12" t="inlineStr">
        <is>
          <t>Mot de passe provisoire</t>
        </is>
      </c>
      <c r="D14" s="13" t="inlineStr">
        <is>
          <t>Critique</t>
        </is>
      </c>
      <c r="E14" s="12" t="inlineStr">
        <is>
          <t>Un compte neuf ou réinitialisé</t>
        </is>
      </c>
      <c r="F14" s="12" t="inlineStr">
        <is>
          <t>Se connecter avec le mot de passe provisoire, tenter d'ouvrir une autre page.</t>
        </is>
      </c>
      <c r="G14" s="12" t="inlineStr">
        <is>
          <t>Toute l'API est fermée jusqu'au changement. Redirection vers /mot-de-passe.</t>
        </is>
      </c>
      <c r="H14" s="12" t="inlineStr">
        <is>
          <t>Dashboard</t>
        </is>
      </c>
      <c r="I14" s="14" t="inlineStr">
        <is>
          <t>À tester</t>
        </is>
      </c>
      <c r="J14" s="15" t="inlineStr"/>
      <c r="K14" s="14" t="inlineStr"/>
      <c r="L14" s="15" t="inlineStr"/>
    </row>
    <row r="15">
      <c r="A15" s="11" t="inlineStr">
        <is>
          <t>AUT-07</t>
        </is>
      </c>
      <c r="B15" s="12" t="inlineStr">
        <is>
          <t>Authentification</t>
        </is>
      </c>
      <c r="C15" s="12" t="inlineStr">
        <is>
          <t>Activation de la double authentification</t>
        </is>
      </c>
      <c r="D15" s="13" t="inlineStr">
        <is>
          <t>Critique</t>
        </is>
      </c>
      <c r="E15" s="12" t="inlineStr">
        <is>
          <t>Compte connecté, TWO_FACTOR_ENABLED=true</t>
        </is>
      </c>
      <c r="F15" s="12" t="inlineStr">
        <is>
          <t>Mon compte &gt; Double authentification &gt; Préparer, scanner le QR, saisir un code.</t>
        </is>
      </c>
      <c r="G15" s="12" t="inlineStr">
        <is>
          <t>2FA activée. Les codes de secours s'affichent une seule fois.</t>
        </is>
      </c>
      <c r="H15" s="12" t="inlineStr">
        <is>
          <t>Dashboard &gt; Mon compte</t>
        </is>
      </c>
      <c r="I15" s="14" t="inlineStr">
        <is>
          <t>À tester</t>
        </is>
      </c>
      <c r="J15" s="15" t="inlineStr"/>
      <c r="K15" s="14" t="inlineStr"/>
      <c r="L15" s="15" t="inlineStr"/>
    </row>
    <row r="16">
      <c r="A16" s="11" t="inlineStr">
        <is>
          <t>AUT-08</t>
        </is>
      </c>
      <c r="B16" s="12" t="inlineStr">
        <is>
          <t>Authentification</t>
        </is>
      </c>
      <c r="C16" s="12" t="inlineStr">
        <is>
          <t>Connexion avec second facteur</t>
        </is>
      </c>
      <c r="D16" s="13" t="inlineStr">
        <is>
          <t>Critique</t>
        </is>
      </c>
      <c r="E16" s="12" t="inlineStr">
        <is>
          <t>2FA activée</t>
        </is>
      </c>
      <c r="F16" s="12" t="inlineStr">
        <is>
          <t>Se déconnecter, se reconnecter, saisir le code TOTP.</t>
        </is>
      </c>
      <c r="G16" s="12" t="inlineStr">
        <is>
          <t>Connexion aboutie. Un code déjà utilisé est refusé à la tentative suivante.</t>
        </is>
      </c>
      <c r="H16" s="12" t="inlineStr">
        <is>
          <t>Page de connexion</t>
        </is>
      </c>
      <c r="I16" s="14" t="inlineStr">
        <is>
          <t>À tester</t>
        </is>
      </c>
      <c r="J16" s="15" t="inlineStr"/>
      <c r="K16" s="14" t="inlineStr"/>
      <c r="L16" s="15" t="inlineStr"/>
    </row>
    <row r="17">
      <c r="A17" s="11" t="inlineStr">
        <is>
          <t>AUT-09</t>
        </is>
      </c>
      <c r="B17" s="12" t="inlineStr">
        <is>
          <t>Authentification</t>
        </is>
      </c>
      <c r="C17" s="12" t="inlineStr">
        <is>
          <t>Code de secours</t>
        </is>
      </c>
      <c r="D17" s="16" t="inlineStr">
        <is>
          <t>Majeure</t>
        </is>
      </c>
      <c r="E17" s="12" t="inlineStr">
        <is>
          <t>2FA activée, codes conservés</t>
        </is>
      </c>
      <c r="F17" s="12" t="inlineStr">
        <is>
          <t>Se connecter en utilisant un code de secours.</t>
        </is>
      </c>
      <c r="G17" s="12" t="inlineStr">
        <is>
          <t>Connexion aboutie. Le code consommé ne fonctionne plus.</t>
        </is>
      </c>
      <c r="H17" s="12" t="inlineStr">
        <is>
          <t>Page de connexion</t>
        </is>
      </c>
      <c r="I17" s="14" t="inlineStr">
        <is>
          <t>À tester</t>
        </is>
      </c>
      <c r="J17" s="15" t="inlineStr"/>
      <c r="K17" s="14" t="inlineStr"/>
      <c r="L17" s="15" t="inlineStr"/>
    </row>
    <row r="18">
      <c r="A18" s="11" t="inlineStr">
        <is>
          <t>AUT-10</t>
        </is>
      </c>
      <c r="B18" s="12" t="inlineStr">
        <is>
          <t>Authentification</t>
        </is>
      </c>
      <c r="C18" s="12" t="inlineStr">
        <is>
          <t>Réinitialisation 2FA par le propriétaire</t>
        </is>
      </c>
      <c r="D18" s="16" t="inlineStr">
        <is>
          <t>Majeure</t>
        </is>
      </c>
      <c r="E18" s="12" t="inlineStr">
        <is>
          <t>Compte propriétaire, un compte avec 2FA</t>
        </is>
      </c>
      <c r="F18" s="12" t="inlineStr">
        <is>
          <t>Dashboard &gt; Comptes &gt; Réinitialiser la double authentification.</t>
        </is>
      </c>
      <c r="G18" s="12" t="inlineStr">
        <is>
          <t>Le compte cible peut se reconnecter sans second facteur et doit la reconfigurer.</t>
        </is>
      </c>
      <c r="H18" s="12" t="inlineStr">
        <is>
          <t>Dashboard &gt; Comptes</t>
        </is>
      </c>
      <c r="I18" s="14" t="inlineStr">
        <is>
          <t>À tester</t>
        </is>
      </c>
      <c r="J18" s="15" t="inlineStr"/>
      <c r="K18" s="14" t="inlineStr"/>
      <c r="L18" s="15" t="inlineStr"/>
    </row>
    <row r="19">
      <c r="A19" s="11" t="inlineStr">
        <is>
          <t>AUT-11</t>
        </is>
      </c>
      <c r="B19" s="12" t="inlineStr">
        <is>
          <t>Authentification</t>
        </is>
      </c>
      <c r="C19" s="12" t="inlineStr">
        <is>
          <t>Sessions actives</t>
        </is>
      </c>
      <c r="D19" s="16" t="inlineStr">
        <is>
          <t>Majeure</t>
        </is>
      </c>
      <c r="E19" s="12" t="inlineStr">
        <is>
          <t>Au moins deux connexions depuis des navigateurs différents</t>
        </is>
      </c>
      <c r="F19" s="12" t="inlineStr">
        <is>
          <t>Dashboard &gt; Sessions actives : lire la liste, fermer une autre session.</t>
        </is>
      </c>
      <c r="G19" s="12" t="inlineStr">
        <is>
          <t>Une ligne par session. La session courante est identifiée et ne peut pas être fermée depuis cette page.</t>
        </is>
      </c>
      <c r="H19" s="12" t="inlineStr">
        <is>
          <t>Dashboard &gt; Sessions actives</t>
        </is>
      </c>
      <c r="I19" s="14" t="inlineStr">
        <is>
          <t>À tester</t>
        </is>
      </c>
      <c r="J19" s="15" t="inlineStr"/>
      <c r="K19" s="14" t="inlineStr"/>
      <c r="L19" s="15" t="inlineStr"/>
    </row>
    <row r="20">
      <c r="A20" s="11" t="inlineStr">
        <is>
          <t>AUT-12</t>
        </is>
      </c>
      <c r="B20" s="12" t="inlineStr">
        <is>
          <t>Authentification</t>
        </is>
      </c>
      <c r="C20" s="12" t="inlineStr">
        <is>
          <t>Déconnexion</t>
        </is>
      </c>
      <c r="D20" s="16" t="inlineStr">
        <is>
          <t>Majeure</t>
        </is>
      </c>
      <c r="E20" s="12" t="inlineStr">
        <is>
          <t>Session ouverte</t>
        </is>
      </c>
      <c r="F20" s="12" t="inlineStr">
        <is>
          <t>Bouton « Se déconnecter » de l'en-tête.</t>
        </is>
      </c>
      <c r="G20" s="12" t="inlineStr">
        <is>
          <t>Retour à la page de connexion. Le rafraîchissement ne restaure pas la session.</t>
        </is>
      </c>
      <c r="H20" s="12" t="inlineStr">
        <is>
          <t>Dashboard</t>
        </is>
      </c>
      <c r="I20" s="14" t="inlineStr">
        <is>
          <t>À tester</t>
        </is>
      </c>
      <c r="J20" s="15" t="inlineStr"/>
      <c r="K20" s="14" t="inlineStr"/>
      <c r="L20" s="15" t="inlineStr"/>
    </row>
    <row r="21">
      <c r="A21" s="11" t="inlineStr">
        <is>
          <t>PER-01</t>
        </is>
      </c>
      <c r="B21" s="12" t="inlineStr">
        <is>
          <t>Permissions</t>
        </is>
      </c>
      <c r="C21" s="12" t="inlineStr">
        <is>
          <t>Matrice par rôle</t>
        </is>
      </c>
      <c r="D21" s="13" t="inlineStr">
        <is>
          <t>Critique</t>
        </is>
      </c>
      <c r="E21" s="12" t="inlineStr">
        <is>
          <t>Compte propriétaire</t>
        </is>
      </c>
      <c r="F21" s="12" t="inlineStr">
        <is>
          <t>Dashboard &gt; Permissions : lire la matrice des quatre rôles.</t>
        </is>
      </c>
      <c r="G21" s="12" t="inlineStr">
        <is>
          <t>Le rôle propriétaire n'est pas modifiable. Les droits réservés au propriétaire sont absents d'Administrateur.</t>
        </is>
      </c>
      <c r="H21" s="12" t="inlineStr">
        <is>
          <t>Dashboard &gt; Permissions</t>
        </is>
      </c>
      <c r="I21" s="14" t="inlineStr">
        <is>
          <t>À tester</t>
        </is>
      </c>
      <c r="J21" s="15" t="inlineStr"/>
      <c r="K21" s="14" t="inlineStr"/>
      <c r="L21" s="15" t="inlineStr"/>
    </row>
    <row r="22">
      <c r="A22" s="11" t="inlineStr">
        <is>
          <t>PER-02</t>
        </is>
      </c>
      <c r="B22" s="12" t="inlineStr">
        <is>
          <t>Permissions</t>
        </is>
      </c>
      <c r="C22" s="12" t="inlineStr">
        <is>
          <t>Retrait d'un droit à un rôle</t>
        </is>
      </c>
      <c r="D22" s="13" t="inlineStr">
        <is>
          <t>Critique</t>
        </is>
      </c>
      <c r="E22" s="12" t="inlineStr">
        <is>
          <t>Compte propriétaire, un compte modérateur de test</t>
        </is>
      </c>
      <c r="F22" s="12" t="inlineStr">
        <is>
          <t>Retirer « sanctions:write » au rôle Modérateur, puis se connecter avec le compte modérateur.</t>
        </is>
      </c>
      <c r="G22" s="12" t="inlineStr">
        <is>
          <t>Le bouton Sanctionner disparaît ET l'API refuse la création en direct (vérifier par l'onglet réseau).</t>
        </is>
      </c>
      <c r="H22" s="12" t="inlineStr">
        <is>
          <t>Dashboard &gt; Sanctions</t>
        </is>
      </c>
      <c r="I22" s="14" t="inlineStr">
        <is>
          <t>À tester</t>
        </is>
      </c>
      <c r="J22" s="15" t="inlineStr"/>
      <c r="K22" s="14" t="inlineStr"/>
      <c r="L22" s="15" t="inlineStr"/>
    </row>
    <row r="23">
      <c r="A23" s="11" t="inlineStr">
        <is>
          <t>PER-03</t>
        </is>
      </c>
      <c r="B23" s="12" t="inlineStr">
        <is>
          <t>Permissions</t>
        </is>
      </c>
      <c r="C23" s="12" t="inlineStr">
        <is>
          <t>Barre latérale filtrée</t>
        </is>
      </c>
      <c r="D23" s="16" t="inlineStr">
        <is>
          <t>Majeure</t>
        </is>
      </c>
      <c r="E23" s="12" t="inlineStr">
        <is>
          <t>Un compte de chaque rôle</t>
        </is>
      </c>
      <c r="F23" s="12" t="inlineStr">
        <is>
          <t>Se connecter avec un compte lecteur, puis modérateur, puis administrateur.</t>
        </is>
      </c>
      <c r="G23" s="12" t="inlineStr">
        <is>
          <t>Chaque compte ne voit que ses pages. Aucune section titrée ne reste vide.</t>
        </is>
      </c>
      <c r="H23" s="12" t="inlineStr">
        <is>
          <t>Dashboard, barre latérale</t>
        </is>
      </c>
      <c r="I23" s="14" t="inlineStr">
        <is>
          <t>À tester</t>
        </is>
      </c>
      <c r="J23" s="15" t="inlineStr"/>
      <c r="K23" s="14" t="inlineStr"/>
      <c r="L23" s="15" t="inlineStr"/>
    </row>
    <row r="24">
      <c r="A24" s="11" t="inlineStr">
        <is>
          <t>PER-04</t>
        </is>
      </c>
      <c r="B24" s="12" t="inlineStr">
        <is>
          <t>Permissions</t>
        </is>
      </c>
      <c r="C24" s="12" t="inlineStr">
        <is>
          <t>Page Rôles &amp; mentions réservée</t>
        </is>
      </c>
      <c r="D24" s="16" t="inlineStr">
        <is>
          <t>Majeure</t>
        </is>
      </c>
      <c r="E24" s="12" t="inlineStr">
        <is>
          <t>Un compte modérateur</t>
        </is>
      </c>
      <c r="F24" s="12" t="inlineStr">
        <is>
          <t>Se connecter en modérateur et tenter d'ouvrir /mentions.</t>
        </is>
      </c>
      <c r="G24" s="12" t="inlineStr">
        <is>
          <t>L'entrée est absente de la barre latérale et l'accès direct à l'URL est refusé.</t>
        </is>
      </c>
      <c r="H24" s="12" t="inlineStr">
        <is>
          <t>Dashboard</t>
        </is>
      </c>
      <c r="I24" s="14" t="inlineStr">
        <is>
          <t>À tester</t>
        </is>
      </c>
      <c r="J24" s="15" t="inlineStr"/>
      <c r="K24" s="14" t="inlineStr"/>
      <c r="L24" s="15" t="inlineStr"/>
    </row>
    <row r="25">
      <c r="A25" s="11" t="inlineStr">
        <is>
          <t>RÉF-01</t>
        </is>
      </c>
      <c r="B25" s="12" t="inlineStr">
        <is>
          <t>Référentiel</t>
        </is>
      </c>
      <c r="C25" s="12" t="inlineStr">
        <is>
          <t>Arrivée d'un membre</t>
        </is>
      </c>
      <c r="D25" s="13" t="inlineStr">
        <is>
          <t>Critique</t>
        </is>
      </c>
      <c r="E25" s="12" t="inlineStr">
        <is>
          <t>Bot démarré</t>
        </is>
      </c>
      <c r="F25" s="12" t="inlineStr">
        <is>
          <t>Faire rejoindre un compte de test.</t>
        </is>
      </c>
      <c r="G25" s="12" t="inlineStr">
        <is>
          <t>Le membre apparaît dans Dashboard &gt; Membres avec sa date d'arrivée.</t>
        </is>
      </c>
      <c r="H25" s="12" t="inlineStr">
        <is>
          <t>Dashboard &gt; Membres</t>
        </is>
      </c>
      <c r="I25" s="14" t="inlineStr">
        <is>
          <t>À tester</t>
        </is>
      </c>
      <c r="J25" s="15" t="inlineStr"/>
      <c r="K25" s="14" t="inlineStr"/>
      <c r="L25" s="15" t="inlineStr"/>
    </row>
    <row r="26">
      <c r="A26" s="11" t="inlineStr">
        <is>
          <t>RÉF-02</t>
        </is>
      </c>
      <c r="B26" s="12" t="inlineStr">
        <is>
          <t>Référentiel</t>
        </is>
      </c>
      <c r="C26" s="12" t="inlineStr">
        <is>
          <t>Départ d'un membre</t>
        </is>
      </c>
      <c r="D26" s="13" t="inlineStr">
        <is>
          <t>Critique</t>
        </is>
      </c>
      <c r="E26" s="12" t="inlineStr">
        <is>
          <t>Un membre présent</t>
        </is>
      </c>
      <c r="F26" s="12" t="inlineStr">
        <is>
          <t>Faire quitter le serveur au compte de test.</t>
        </is>
      </c>
      <c r="G26" s="12" t="inlineStr">
        <is>
          <t>Le statut passe à « Parti ». La fiche reste consultable.</t>
        </is>
      </c>
      <c r="H26" s="12" t="inlineStr">
        <is>
          <t>Dashboard &gt; Membres</t>
        </is>
      </c>
      <c r="I26" s="14" t="inlineStr">
        <is>
          <t>À tester</t>
        </is>
      </c>
      <c r="J26" s="15" t="inlineStr"/>
      <c r="K26" s="14" t="inlineStr"/>
      <c r="L26" s="15" t="inlineStr"/>
    </row>
    <row r="27">
      <c r="A27" s="11" t="inlineStr">
        <is>
          <t>RÉF-03</t>
        </is>
      </c>
      <c r="B27" s="12" t="inlineStr">
        <is>
          <t>Référentiel</t>
        </is>
      </c>
      <c r="C27" s="12" t="inlineStr">
        <is>
          <t>Départ pendant l'arrêt du bot</t>
        </is>
      </c>
      <c r="D27" s="16" t="inlineStr">
        <is>
          <t>Majeure</t>
        </is>
      </c>
      <c r="E27" s="12" t="inlineStr">
        <is>
          <t>Bot arrêtable</t>
        </is>
      </c>
      <c r="F27" s="12" t="inlineStr">
        <is>
          <t>Arrêter le bot, faire quitter un membre, redémarrer le bot.</t>
        </is>
      </c>
      <c r="G27" s="12" t="inlineStr">
        <is>
          <t>La synchronisation du démarrage rattrape le départ.</t>
        </is>
      </c>
      <c r="H27" s="12" t="inlineStr">
        <is>
          <t>Dashboard &gt; Membres</t>
        </is>
      </c>
      <c r="I27" s="14" t="inlineStr">
        <is>
          <t>À tester</t>
        </is>
      </c>
      <c r="J27" s="15" t="inlineStr"/>
      <c r="K27" s="14" t="inlineStr"/>
      <c r="L27" s="15" t="inlineStr"/>
    </row>
    <row r="28">
      <c r="A28" s="11" t="inlineStr">
        <is>
          <t>RÉF-04</t>
        </is>
      </c>
      <c r="B28" s="12" t="inlineStr">
        <is>
          <t>Référentiel</t>
        </is>
      </c>
      <c r="C28" s="12" t="inlineStr">
        <is>
          <t>Changement de rôle</t>
        </is>
      </c>
      <c r="D28" s="16" t="inlineStr">
        <is>
          <t>Majeure</t>
        </is>
      </c>
      <c r="E28" s="12" t="inlineStr">
        <is>
          <t>Un rôle suivi (track_history activé)</t>
        </is>
      </c>
      <c r="F28" s="12" t="inlineStr">
        <is>
          <t>Attribuer puis retirer un rôle à un membre.</t>
        </is>
      </c>
      <c r="G28" s="12" t="inlineStr">
        <is>
          <t>Les deux mouvements apparaissent dans la chronologie de la fiche.</t>
        </is>
      </c>
      <c r="H28" s="12" t="inlineStr">
        <is>
          <t>Dashboard &gt; fiche membre &gt; Chronologie</t>
        </is>
      </c>
      <c r="I28" s="14" t="inlineStr">
        <is>
          <t>À tester</t>
        </is>
      </c>
      <c r="J28" s="15" t="inlineStr"/>
      <c r="K28" s="14" t="inlineStr"/>
      <c r="L28" s="15" t="inlineStr"/>
    </row>
    <row r="29">
      <c r="A29" s="11" t="inlineStr">
        <is>
          <t>RÉF-05</t>
        </is>
      </c>
      <c r="B29" s="12" t="inlineStr">
        <is>
          <t>Référentiel</t>
        </is>
      </c>
      <c r="C29" s="12" t="inlineStr">
        <is>
          <t>Rôle non suivi</t>
        </is>
      </c>
      <c r="D29" s="16" t="inlineStr">
        <is>
          <t>Mineure</t>
        </is>
      </c>
      <c r="E29" s="12" t="inlineStr">
        <is>
          <t>Un rôle avec track_history désactivé</t>
        </is>
      </c>
      <c r="F29" s="12" t="inlineStr">
        <is>
          <t>Attribuer ce rôle à un membre.</t>
        </is>
      </c>
      <c r="G29" s="12" t="inlineStr">
        <is>
          <t>Rien dans la chronologie, mais le rôle apparaît bien sur la fiche et dans les filtres.</t>
        </is>
      </c>
      <c r="H29" s="12" t="inlineStr">
        <is>
          <t>Dashboard &gt; fiche membre</t>
        </is>
      </c>
      <c r="I29" s="14" t="inlineStr">
        <is>
          <t>À tester</t>
        </is>
      </c>
      <c r="J29" s="15" t="inlineStr"/>
      <c r="K29" s="14" t="inlineStr"/>
      <c r="L29" s="15" t="inlineStr"/>
    </row>
    <row r="30">
      <c r="A30" s="11" t="inlineStr">
        <is>
          <t>RÉF-06</t>
        </is>
      </c>
      <c r="B30" s="12" t="inlineStr">
        <is>
          <t>Référentiel</t>
        </is>
      </c>
      <c r="C30" s="12" t="inlineStr">
        <is>
          <t>Suppression d'un salon</t>
        </is>
      </c>
      <c r="D30" s="16" t="inlineStr">
        <is>
          <t>Mineure</t>
        </is>
      </c>
      <c r="E30" s="12" t="inlineStr">
        <is>
          <t>Un salon de test</t>
        </is>
      </c>
      <c r="F30" s="12" t="inlineStr">
        <is>
          <t>Supprimer le salon dans Discord.</t>
        </is>
      </c>
      <c r="G30" s="12" t="inlineStr">
        <is>
          <t>Les statistiques qui le référencent restent lisibles (suppression logique).</t>
        </is>
      </c>
      <c r="H30" s="12" t="inlineStr">
        <is>
          <t>Dashboard &gt; Vue d'ensemble</t>
        </is>
      </c>
      <c r="I30" s="14" t="inlineStr">
        <is>
          <t>À tester</t>
        </is>
      </c>
      <c r="J30" s="15" t="inlineStr"/>
      <c r="K30" s="14" t="inlineStr"/>
      <c r="L30" s="15" t="inlineStr"/>
    </row>
    <row r="31">
      <c r="A31" s="11" t="inlineStr">
        <is>
          <t>RÉF-07</t>
        </is>
      </c>
      <c r="B31" s="12" t="inlineStr">
        <is>
          <t>Référentiel</t>
        </is>
      </c>
      <c r="C31" s="12" t="inlineStr">
        <is>
          <t>Synchronisation des avatars</t>
        </is>
      </c>
      <c r="D31" s="16" t="inlineStr">
        <is>
          <t>Mineure</t>
        </is>
      </c>
      <c r="E31" s="12" t="inlineStr">
        <is>
          <t>—</t>
        </is>
      </c>
      <c r="F31" s="12" t="inlineStr">
        <is>
          <t>Lancer `/sync_avatars`.</t>
        </is>
      </c>
      <c r="G31" s="12" t="inlineStr">
        <is>
          <t>Les images de profil se mettent à jour dans la webapp.</t>
        </is>
      </c>
      <c r="H31" s="12" t="inlineStr">
        <is>
          <t>Dashboard &gt; Membres</t>
        </is>
      </c>
      <c r="I31" s="14" t="inlineStr">
        <is>
          <t>À tester</t>
        </is>
      </c>
      <c r="J31" s="15" t="inlineStr"/>
      <c r="K31" s="14" t="inlineStr"/>
      <c r="L31" s="15" t="inlineStr"/>
    </row>
    <row r="32">
      <c r="A32" s="11" t="inlineStr">
        <is>
          <t>MDO-01</t>
        </is>
      </c>
      <c r="B32" s="12" t="inlineStr">
        <is>
          <t>Modération Discord</t>
        </is>
      </c>
      <c r="C32" s="12" t="inlineStr">
        <is>
          <t>/warn</t>
        </is>
      </c>
      <c r="D32" s="13" t="inlineStr">
        <is>
          <t>Critique</t>
        </is>
      </c>
      <c r="E32" s="12" t="inlineStr">
        <is>
          <t>Modérateur avec ModerateMembers</t>
        </is>
      </c>
      <c r="F32" s="12" t="inlineStr">
        <is>
          <t>`/warn` sur un membre, avec motif et gravité.</t>
        </is>
      </c>
      <c r="G32" s="12" t="inlineStr">
        <is>
          <t>Avertissement visible sur la fiche. Le membre reçoit un message privé. Trace dans le journal de modération.</t>
        </is>
      </c>
      <c r="H32" s="12" t="inlineStr">
        <is>
          <t>Dashboard &gt; Avertissements</t>
        </is>
      </c>
      <c r="I32" s="14" t="inlineStr">
        <is>
          <t>À tester</t>
        </is>
      </c>
      <c r="J32" s="15" t="inlineStr"/>
      <c r="K32" s="14" t="inlineStr"/>
      <c r="L32" s="15" t="inlineStr"/>
    </row>
    <row r="33">
      <c r="A33" s="11" t="inlineStr">
        <is>
          <t>MDO-02</t>
        </is>
      </c>
      <c r="B33" s="12" t="inlineStr">
        <is>
          <t>Modération Discord</t>
        </is>
      </c>
      <c r="C33" s="12" t="inlineStr">
        <is>
          <t>/mute et /unmute</t>
        </is>
      </c>
      <c r="D33" s="13" t="inlineStr">
        <is>
          <t>Critique</t>
        </is>
      </c>
      <c r="E33" s="12" t="inlineStr">
        <is>
          <t>Modérateur avec ModerateMembers</t>
        </is>
      </c>
      <c r="F33" s="12" t="inlineStr">
        <is>
          <t>`/mute` 10 minutes puis `/unmute`.</t>
        </is>
      </c>
      <c r="G33" s="12" t="inlineStr">
        <is>
          <t>Timeout Discord posé puis levé. Sanction créée puis révoquée, avec l'auteur de la levée.</t>
        </is>
      </c>
      <c r="H33" s="12" t="inlineStr">
        <is>
          <t>Discord + Dashboard &gt; Sanctions</t>
        </is>
      </c>
      <c r="I33" s="14" t="inlineStr">
        <is>
          <t>À tester</t>
        </is>
      </c>
      <c r="J33" s="15" t="inlineStr"/>
      <c r="K33" s="14" t="inlineStr"/>
      <c r="L33" s="15" t="inlineStr"/>
    </row>
    <row r="34">
      <c r="A34" s="11" t="inlineStr">
        <is>
          <t>MDO-03</t>
        </is>
      </c>
      <c r="B34" s="12" t="inlineStr">
        <is>
          <t>Modération Discord</t>
        </is>
      </c>
      <c r="C34" s="12" t="inlineStr">
        <is>
          <t>/kick</t>
        </is>
      </c>
      <c r="D34" s="13" t="inlineStr">
        <is>
          <t>Critique</t>
        </is>
      </c>
      <c r="E34" s="12" t="inlineStr">
        <is>
          <t>Modérateur avec KickMembers</t>
        </is>
      </c>
      <c r="F34" s="12" t="inlineStr">
        <is>
          <t>`/kick` sur un compte de test.</t>
        </is>
      </c>
      <c r="G34" s="12" t="inlineStr">
        <is>
          <t>Membre expulsé. Sanction de type KICK, statut EXPIRED, marquée appliquée.</t>
        </is>
      </c>
      <c r="H34" s="12" t="inlineStr">
        <is>
          <t>Dashboard &gt; Sanctions</t>
        </is>
      </c>
      <c r="I34" s="14" t="inlineStr">
        <is>
          <t>À tester</t>
        </is>
      </c>
      <c r="J34" s="15" t="inlineStr"/>
      <c r="K34" s="14" t="inlineStr"/>
      <c r="L34" s="15" t="inlineStr"/>
    </row>
    <row r="35">
      <c r="A35" s="11" t="inlineStr">
        <is>
          <t>MDO-04</t>
        </is>
      </c>
      <c r="B35" s="12" t="inlineStr">
        <is>
          <t>Modération Discord</t>
        </is>
      </c>
      <c r="C35" s="12" t="inlineStr">
        <is>
          <t>/ban et /unban</t>
        </is>
      </c>
      <c r="D35" s="13" t="inlineStr">
        <is>
          <t>Critique</t>
        </is>
      </c>
      <c r="E35" s="12" t="inlineStr">
        <is>
          <t>Modérateur avec BanMembers</t>
        </is>
      </c>
      <c r="F35" s="12" t="inlineStr">
        <is>
          <t>`/ban` puis `/unban` sur un compte de test.</t>
        </is>
      </c>
      <c r="G35" s="12" t="inlineStr">
        <is>
          <t>Bannissement posé puis levé. Le statut BANNED n'est jamais rétrogradé en LEFT.</t>
        </is>
      </c>
      <c r="H35" s="12" t="inlineStr">
        <is>
          <t>Dashboard &gt; Sanctions</t>
        </is>
      </c>
      <c r="I35" s="14" t="inlineStr">
        <is>
          <t>À tester</t>
        </is>
      </c>
      <c r="J35" s="15" t="inlineStr"/>
      <c r="K35" s="14" t="inlineStr"/>
      <c r="L35" s="15" t="inlineStr"/>
    </row>
    <row r="36">
      <c r="A36" s="11" t="inlineStr">
        <is>
          <t>MDO-05</t>
        </is>
      </c>
      <c r="B36" s="12" t="inlineStr">
        <is>
          <t>Modération Discord</t>
        </is>
      </c>
      <c r="C36" s="12" t="inlineStr">
        <is>
          <t>/shadowban et /unshadowban</t>
        </is>
      </c>
      <c r="D36" s="13" t="inlineStr">
        <is>
          <t>Critique</t>
        </is>
      </c>
      <c r="E36" s="12" t="inlineStr">
        <is>
          <t>Rôle de shadowban configuré</t>
        </is>
      </c>
      <c r="F36" s="12" t="inlineStr">
        <is>
          <t>`/shadowban` sur un membre portant plusieurs rôles, puis `/unshadowban`.</t>
        </is>
      </c>
      <c r="G36" s="12" t="inlineStr">
        <is>
          <t>Les autres rôles sont mis de côté puis restitués à l'identique. Le membre ne peut plus écrire entre-temps.</t>
        </is>
      </c>
      <c r="H36" s="12" t="inlineStr">
        <is>
          <t>Discord + Dashboard &gt; fiche membre</t>
        </is>
      </c>
      <c r="I36" s="14" t="inlineStr">
        <is>
          <t>À tester</t>
        </is>
      </c>
      <c r="J36" s="15" t="inlineStr"/>
      <c r="K36" s="14" t="inlineStr"/>
      <c r="L36" s="15" t="inlineStr"/>
    </row>
    <row r="37">
      <c r="A37" s="11" t="inlineStr">
        <is>
          <t>MDO-06</t>
        </is>
      </c>
      <c r="B37" s="12" t="inlineStr">
        <is>
          <t>Modération Discord</t>
        </is>
      </c>
      <c r="C37" s="12" t="inlineStr">
        <is>
          <t>Shadowban posé à la main</t>
        </is>
      </c>
      <c r="D37" s="16" t="inlineStr">
        <is>
          <t>Majeure</t>
        </is>
      </c>
      <c r="E37" s="12" t="inlineStr">
        <is>
          <t>Rôle de shadowban configuré</t>
        </is>
      </c>
      <c r="F37" s="12" t="inlineStr">
        <is>
          <t>Attribuer le rôle de shadowban à la main dans Discord.</t>
        </is>
      </c>
      <c r="G37" s="12" t="inlineStr">
        <is>
          <t>La sanction est ingérée avec le bon auteur, et les autres rôles sont mis de côté.</t>
        </is>
      </c>
      <c r="H37" s="12" t="inlineStr">
        <is>
          <t>Dashboard &gt; Sanctions</t>
        </is>
      </c>
      <c r="I37" s="14" t="inlineStr">
        <is>
          <t>À tester</t>
        </is>
      </c>
      <c r="J37" s="15" t="inlineStr"/>
      <c r="K37" s="14" t="inlineStr"/>
      <c r="L37" s="15" t="inlineStr"/>
    </row>
    <row r="38">
      <c r="A38" s="11" t="inlineStr">
        <is>
          <t>MDO-07</t>
        </is>
      </c>
      <c r="B38" s="12" t="inlineStr">
        <is>
          <t>Modération Discord</t>
        </is>
      </c>
      <c r="C38" s="12" t="inlineStr">
        <is>
          <t>Sanction posée à la main</t>
        </is>
      </c>
      <c r="D38" s="13" t="inlineStr">
        <is>
          <t>Critique</t>
        </is>
      </c>
      <c r="E38" s="12" t="inlineStr">
        <is>
          <t>Permission « Voir le journal d'audit »</t>
        </is>
      </c>
      <c r="F38" s="12" t="inlineStr">
        <is>
          <t>Bannir un membre directement dans le client Discord.</t>
        </is>
      </c>
      <c r="G38" s="12" t="inlineStr">
        <is>
          <t>La sanction remonte avec le modérateur réel comme auteur, pas le bot.</t>
        </is>
      </c>
      <c r="H38" s="12" t="inlineStr">
        <is>
          <t>Dashboard &gt; Sanctions</t>
        </is>
      </c>
      <c r="I38" s="14" t="inlineStr">
        <is>
          <t>À tester</t>
        </is>
      </c>
      <c r="J38" s="15" t="inlineStr"/>
      <c r="K38" s="14" t="inlineStr"/>
      <c r="L38" s="15" t="inlineStr"/>
    </row>
    <row r="39">
      <c r="A39" s="11" t="inlineStr">
        <is>
          <t>MDO-08</t>
        </is>
      </c>
      <c r="B39" s="12" t="inlineStr">
        <is>
          <t>Modération Discord</t>
        </is>
      </c>
      <c r="C39" s="12" t="inlineStr">
        <is>
          <t>/casier</t>
        </is>
      </c>
      <c r="D39" s="16" t="inlineStr">
        <is>
          <t>Majeure</t>
        </is>
      </c>
      <c r="E39" s="12" t="inlineStr">
        <is>
          <t>Un membre avec un historique</t>
        </is>
      </c>
      <c r="F39" s="12" t="inlineStr">
        <is>
          <t>`/casier` sur ce membre.</t>
        </is>
      </c>
      <c r="G39" s="12" t="inlineStr">
        <is>
          <t>Avertissements, sanctions et notes s'affichent, avec le message incriminé pour une sanction automatique.</t>
        </is>
      </c>
      <c r="H39" s="12" t="inlineStr">
        <is>
          <t>Réponse de la commande</t>
        </is>
      </c>
      <c r="I39" s="14" t="inlineStr">
        <is>
          <t>À tester</t>
        </is>
      </c>
      <c r="J39" s="15" t="inlineStr"/>
      <c r="K39" s="14" t="inlineStr"/>
      <c r="L39" s="15" t="inlineStr"/>
    </row>
    <row r="40">
      <c r="A40" s="11" t="inlineStr">
        <is>
          <t>MDO-09</t>
        </is>
      </c>
      <c r="B40" s="12" t="inlineStr">
        <is>
          <t>Modération Discord</t>
        </is>
      </c>
      <c r="C40" s="12" t="inlineStr">
        <is>
          <t>/preuve</t>
        </is>
      </c>
      <c r="D40" s="16" t="inlineStr">
        <is>
          <t>Majeure</t>
        </is>
      </c>
      <c r="E40" s="12" t="inlineStr">
        <is>
          <t>Une sanction existante</t>
        </is>
      </c>
      <c r="F40" s="12" t="inlineStr">
        <is>
          <t>`/preuve`, choisir la sanction, joindre deux fichiers.</t>
        </is>
      </c>
      <c r="G40" s="12" t="inlineStr">
        <is>
          <t>Les pièces sont attachées à la sanction et visibles sur la fiche.</t>
        </is>
      </c>
      <c r="H40" s="12" t="inlineStr">
        <is>
          <t>Dashboard &gt; fiche membre</t>
        </is>
      </c>
      <c r="I40" s="14" t="inlineStr">
        <is>
          <t>À tester</t>
        </is>
      </c>
      <c r="J40" s="15" t="inlineStr"/>
      <c r="K40" s="14" t="inlineStr"/>
      <c r="L40" s="15" t="inlineStr"/>
    </row>
    <row r="41">
      <c r="A41" s="11" t="inlineStr">
        <is>
          <t>MDO-10</t>
        </is>
      </c>
      <c r="B41" s="12" t="inlineStr">
        <is>
          <t>Modération Discord</t>
        </is>
      </c>
      <c r="C41" s="12" t="inlineStr">
        <is>
          <t>/preuve au-delà du plafond</t>
        </is>
      </c>
      <c r="D41" s="16" t="inlineStr">
        <is>
          <t>Mineure</t>
        </is>
      </c>
      <c r="E41" s="12" t="inlineStr">
        <is>
          <t>Une sanction existante</t>
        </is>
      </c>
      <c r="F41" s="12" t="inlineStr">
        <is>
          <t>Déposer plus de fichiers que le plafond, en remplissant les deux zones.</t>
        </is>
      </c>
      <c r="G41" s="12" t="inlineStr">
        <is>
          <t>Le dépôt est refusé en entier, avec un message explicite. Aucun fichier n'est conservé.</t>
        </is>
      </c>
      <c r="H41" s="12" t="inlineStr">
        <is>
          <t>Réponse de la commande</t>
        </is>
      </c>
      <c r="I41" s="14" t="inlineStr">
        <is>
          <t>À tester</t>
        </is>
      </c>
      <c r="J41" s="15" t="inlineStr"/>
      <c r="K41" s="14" t="inlineStr"/>
      <c r="L41" s="15" t="inlineStr"/>
    </row>
    <row r="42">
      <c r="A42" s="11" t="inlineStr">
        <is>
          <t>MDO-11</t>
        </is>
      </c>
      <c r="B42" s="12" t="inlineStr">
        <is>
          <t>Modération Discord</t>
        </is>
      </c>
      <c r="C42" s="12" t="inlineStr">
        <is>
          <t>/clear</t>
        </is>
      </c>
      <c r="D42" s="16" t="inlineStr">
        <is>
          <t>Majeure</t>
        </is>
      </c>
      <c r="E42" s="12" t="inlineStr">
        <is>
          <t>Modérateur avec ManageMessages</t>
        </is>
      </c>
      <c r="F42" s="12" t="inlineStr">
        <is>
          <t>`/clear` 10 messages, puis `/clear` avec l'option membre.</t>
        </is>
      </c>
      <c r="G42" s="12" t="inlineStr">
        <is>
          <t>Les messages sont supprimés. Une trace est écrite dans le journal de modération à chaque fois.</t>
        </is>
      </c>
      <c r="H42" s="12" t="inlineStr">
        <is>
          <t>Discord &gt; salon de logs</t>
        </is>
      </c>
      <c r="I42" s="14" t="inlineStr">
        <is>
          <t>À tester</t>
        </is>
      </c>
      <c r="J42" s="15" t="inlineStr"/>
      <c r="K42" s="14" t="inlineStr"/>
      <c r="L42" s="15" t="inlineStr"/>
    </row>
    <row r="43">
      <c r="A43" s="11" t="inlineStr">
        <is>
          <t>MDO-12</t>
        </is>
      </c>
      <c r="B43" s="12" t="inlineStr">
        <is>
          <t>Modération Discord</t>
        </is>
      </c>
      <c r="C43" s="12" t="inlineStr">
        <is>
          <t>/clear sur messages anciens</t>
        </is>
      </c>
      <c r="D43" s="16" t="inlineStr">
        <is>
          <t>Mineure</t>
        </is>
      </c>
      <c r="E43" s="12" t="inlineStr">
        <is>
          <t>Des messages de plus de 14 jours</t>
        </is>
      </c>
      <c r="F43" s="12" t="inlineStr">
        <is>
          <t>`/clear` sur un salon dont les messages sont anciens.</t>
        </is>
      </c>
      <c r="G43" s="12" t="inlineStr">
        <is>
          <t>Message clair expliquant la limite de 14 jours de Discord, pas une erreur brute.</t>
        </is>
      </c>
      <c r="H43" s="12" t="inlineStr">
        <is>
          <t>Réponse de la commande</t>
        </is>
      </c>
      <c r="I43" s="14" t="inlineStr">
        <is>
          <t>À tester</t>
        </is>
      </c>
      <c r="J43" s="15" t="inlineStr"/>
      <c r="K43" s="14" t="inlineStr"/>
      <c r="L43" s="15" t="inlineStr"/>
    </row>
    <row r="44">
      <c r="A44" s="11" t="inlineStr">
        <is>
          <t>MDO-13</t>
        </is>
      </c>
      <c r="B44" s="12" t="inlineStr">
        <is>
          <t>Modération Discord</t>
        </is>
      </c>
      <c r="C44" s="12" t="inlineStr">
        <is>
          <t>/rappel</t>
        </is>
      </c>
      <c r="D44" s="16" t="inlineStr">
        <is>
          <t>Mineure</t>
        </is>
      </c>
      <c r="E44" s="12" t="inlineStr">
        <is>
          <t>—</t>
        </is>
      </c>
      <c r="F44" s="12" t="inlineStr">
        <is>
          <t>`/rappel 2h vérifier le comportement de @membre`, puis `/rappel 5m`.</t>
        </is>
      </c>
      <c r="G44" s="12" t="inlineStr">
        <is>
          <t>Le rappel est enregistré en base et livré en message privé à l'échéance. Une durée incomprise est refusée.</t>
        </is>
      </c>
      <c r="H44" s="12" t="inlineStr">
        <is>
          <t>Message privé</t>
        </is>
      </c>
      <c r="I44" s="14" t="inlineStr">
        <is>
          <t>À tester</t>
        </is>
      </c>
      <c r="J44" s="15" t="inlineStr"/>
      <c r="K44" s="14" t="inlineStr"/>
      <c r="L44" s="15" t="inlineStr"/>
    </row>
    <row r="45">
      <c r="A45" s="11" t="inlineStr">
        <is>
          <t>MWO-01</t>
        </is>
      </c>
      <c r="B45" s="12" t="inlineStr">
        <is>
          <t>Modération web</t>
        </is>
      </c>
      <c r="C45" s="12" t="inlineStr">
        <is>
          <t>Créer un avertissement</t>
        </is>
      </c>
      <c r="D45" s="13" t="inlineStr">
        <is>
          <t>Critique</t>
        </is>
      </c>
      <c r="E45" s="12" t="inlineStr">
        <is>
          <t>Permission warnings:write</t>
        </is>
      </c>
      <c r="F45" s="12" t="inlineStr">
        <is>
          <t>Fiche membre &gt; Avertir, saisir motif et gravité.</t>
        </is>
      </c>
      <c r="G45" s="12" t="inlineStr">
        <is>
          <t>Avertissement créé. Le membre reçoit un message privé dans les cinq secondes.</t>
        </is>
      </c>
      <c r="H45" s="12" t="inlineStr">
        <is>
          <t>Dashboard + Discord</t>
        </is>
      </c>
      <c r="I45" s="14" t="inlineStr">
        <is>
          <t>À tester</t>
        </is>
      </c>
      <c r="J45" s="15" t="inlineStr"/>
      <c r="K45" s="14" t="inlineStr"/>
      <c r="L45" s="15" t="inlineStr"/>
    </row>
    <row r="46">
      <c r="A46" s="11" t="inlineStr">
        <is>
          <t>MWO-02</t>
        </is>
      </c>
      <c r="B46" s="12" t="inlineStr">
        <is>
          <t>Modération web</t>
        </is>
      </c>
      <c r="C46" s="12" t="inlineStr">
        <is>
          <t>Créer une sanction</t>
        </is>
      </c>
      <c r="D46" s="13" t="inlineStr">
        <is>
          <t>Critique</t>
        </is>
      </c>
      <c r="E46" s="12" t="inlineStr">
        <is>
          <t>Permission sanctions:write</t>
        </is>
      </c>
      <c r="F46" s="12" t="inlineStr">
        <is>
          <t>Fiche membre &gt; Sanctionner, choisir un timeout de 10 minutes.</t>
        </is>
      </c>
      <c r="G46" s="12" t="inlineStr">
        <is>
          <t>La sanction est appliquée sur Discord dans les cinq secondes.</t>
        </is>
      </c>
      <c r="H46" s="12" t="inlineStr">
        <is>
          <t>Discord</t>
        </is>
      </c>
      <c r="I46" s="14" t="inlineStr">
        <is>
          <t>À tester</t>
        </is>
      </c>
      <c r="J46" s="15" t="inlineStr"/>
      <c r="K46" s="14" t="inlineStr"/>
      <c r="L46" s="15" t="inlineStr"/>
    </row>
    <row r="47">
      <c r="A47" s="11" t="inlineStr">
        <is>
          <t>MWO-03</t>
        </is>
      </c>
      <c r="B47" s="12" t="inlineStr">
        <is>
          <t>Modération web</t>
        </is>
      </c>
      <c r="C47" s="12" t="inlineStr">
        <is>
          <t>Sanction permanente</t>
        </is>
      </c>
      <c r="D47" s="13" t="inlineStr">
        <is>
          <t>Critique</t>
        </is>
      </c>
      <c r="E47" s="12" t="inlineStr">
        <is>
          <t>Permission sanctions:write</t>
        </is>
      </c>
      <c r="F47" s="12" t="inlineStr">
        <is>
          <t>Créer un bannissement sans durée.</t>
        </is>
      </c>
      <c r="G47" s="12" t="inlineStr">
        <is>
          <t>Le bannissement est appliqué sur Discord, bien que sa date d'expiration soit vide.</t>
        </is>
      </c>
      <c r="H47" s="12" t="inlineStr">
        <is>
          <t>Discord</t>
        </is>
      </c>
      <c r="I47" s="14" t="inlineStr">
        <is>
          <t>À tester</t>
        </is>
      </c>
      <c r="J47" s="15" t="inlineStr"/>
      <c r="K47" s="14" t="inlineStr"/>
      <c r="L47" s="15" t="inlineStr"/>
    </row>
    <row r="48">
      <c r="A48" s="11" t="inlineStr">
        <is>
          <t>MWO-04</t>
        </is>
      </c>
      <c r="B48" s="12" t="inlineStr">
        <is>
          <t>Modération web</t>
        </is>
      </c>
      <c r="C48" s="12" t="inlineStr">
        <is>
          <t>Sanction instantanée</t>
        </is>
      </c>
      <c r="D48" s="13" t="inlineStr">
        <is>
          <t>Critique</t>
        </is>
      </c>
      <c r="E48" s="12" t="inlineStr">
        <is>
          <t>Permission sanctions:write</t>
        </is>
      </c>
      <c r="F48" s="12" t="inlineStr">
        <is>
          <t>Créer une expulsion depuis le dashboard.</t>
        </is>
      </c>
      <c r="G48" s="12" t="inlineStr">
        <is>
          <t>L'expulsion est exécutée sur Discord malgré son statut EXPIRED à la création.</t>
        </is>
      </c>
      <c r="H48" s="12" t="inlineStr">
        <is>
          <t>Discord</t>
        </is>
      </c>
      <c r="I48" s="14" t="inlineStr">
        <is>
          <t>À tester</t>
        </is>
      </c>
      <c r="J48" s="15" t="inlineStr"/>
      <c r="K48" s="14" t="inlineStr"/>
      <c r="L48" s="15" t="inlineStr"/>
    </row>
    <row r="49">
      <c r="A49" s="11" t="inlineStr">
        <is>
          <t>MWO-05</t>
        </is>
      </c>
      <c r="B49" s="12" t="inlineStr">
        <is>
          <t>Modération web</t>
        </is>
      </c>
      <c r="C49" s="12" t="inlineStr">
        <is>
          <t>Révoquer une sanction</t>
        </is>
      </c>
      <c r="D49" s="13" t="inlineStr">
        <is>
          <t>Critique</t>
        </is>
      </c>
      <c r="E49" s="12" t="inlineStr">
        <is>
          <t>Permission sanctions:revoke, une sanction active</t>
        </is>
      </c>
      <c r="F49" s="12" t="inlineStr">
        <is>
          <t>Révoquer la sanction depuis la liste.</t>
        </is>
      </c>
      <c r="G49" s="12" t="inlineStr">
        <is>
          <t>L'effet est levé sur Discord. L'auteur de la levée s'affiche sur la fiche.</t>
        </is>
      </c>
      <c r="H49" s="12" t="inlineStr">
        <is>
          <t>Discord + Dashboard</t>
        </is>
      </c>
      <c r="I49" s="14" t="inlineStr">
        <is>
          <t>À tester</t>
        </is>
      </c>
      <c r="J49" s="15" t="inlineStr"/>
      <c r="K49" s="14" t="inlineStr"/>
      <c r="L49" s="15" t="inlineStr"/>
    </row>
    <row r="50">
      <c r="A50" s="11" t="inlineStr">
        <is>
          <t>MWO-06</t>
        </is>
      </c>
      <c r="B50" s="12" t="inlineStr">
        <is>
          <t>Modération web</t>
        </is>
      </c>
      <c r="C50" s="12" t="inlineStr">
        <is>
          <t>Révoquer une sanction expirée</t>
        </is>
      </c>
      <c r="D50" s="16" t="inlineStr">
        <is>
          <t>Mineure</t>
        </is>
      </c>
      <c r="E50" s="12" t="inlineStr">
        <is>
          <t>Une sanction au statut EXPIRED</t>
        </is>
      </c>
      <c r="F50" s="12" t="inlineStr">
        <is>
          <t>Tenter de la révoquer.</t>
        </is>
      </c>
      <c r="G50" s="12" t="inlineStr">
        <is>
          <t>Refus explicite : il n'y a rien à rejouer côté Discord.</t>
        </is>
      </c>
      <c r="H50" s="12" t="inlineStr">
        <is>
          <t>Dashboard &gt; Sanctions</t>
        </is>
      </c>
      <c r="I50" s="14" t="inlineStr">
        <is>
          <t>À tester</t>
        </is>
      </c>
      <c r="J50" s="15" t="inlineStr"/>
      <c r="K50" s="14" t="inlineStr"/>
      <c r="L50" s="15" t="inlineStr"/>
    </row>
    <row r="51">
      <c r="A51" s="11" t="inlineStr">
        <is>
          <t>MWO-07</t>
        </is>
      </c>
      <c r="B51" s="12" t="inlineStr">
        <is>
          <t>Modération web</t>
        </is>
      </c>
      <c r="C51" s="12" t="inlineStr">
        <is>
          <t>Pièces jointes de sanction</t>
        </is>
      </c>
      <c r="D51" s="16" t="inlineStr">
        <is>
          <t>Majeure</t>
        </is>
      </c>
      <c r="E51" s="12" t="inlineStr">
        <is>
          <t>Une sanction existante</t>
        </is>
      </c>
      <c r="F51" s="12" t="inlineStr">
        <is>
          <t>Joindre une image, puis une image marquée spoiler, puis un type non autorisé.</t>
        </is>
      </c>
      <c r="G51" s="12" t="inlineStr">
        <is>
          <t>Les deux premières sont acceptées ; le type non autorisé est refusé. Le voile se remet au retour sur la fiche.</t>
        </is>
      </c>
      <c r="H51" s="12" t="inlineStr">
        <is>
          <t>Dashboard &gt; fiche membre</t>
        </is>
      </c>
      <c r="I51" s="14" t="inlineStr">
        <is>
          <t>À tester</t>
        </is>
      </c>
      <c r="J51" s="15" t="inlineStr"/>
      <c r="K51" s="14" t="inlineStr"/>
      <c r="L51" s="15" t="inlineStr"/>
    </row>
    <row r="52">
      <c r="A52" s="11" t="inlineStr">
        <is>
          <t>MWO-08</t>
        </is>
      </c>
      <c r="B52" s="12" t="inlineStr">
        <is>
          <t>Modération web</t>
        </is>
      </c>
      <c r="C52" s="12" t="inlineStr">
        <is>
          <t>Barème de points</t>
        </is>
      </c>
      <c r="D52" s="16" t="inlineStr">
        <is>
          <t>Majeure</t>
        </is>
      </c>
      <c r="E52" s="12" t="inlineStr">
        <is>
          <t>Permission moderation-points:configure</t>
        </is>
      </c>
      <c r="F52" s="12" t="inlineStr">
        <is>
          <t>Modifier le barème, puis créer un nouvel avertissement.</t>
        </is>
      </c>
      <c r="G52" s="12" t="inlineStr">
        <is>
          <t>Le nouvel avertissement prend le nouveau barème. Les anciens gardent leurs points.</t>
        </is>
      </c>
      <c r="H52" s="12" t="inlineStr">
        <is>
          <t>Dashboard &gt; Barème de points</t>
        </is>
      </c>
      <c r="I52" s="14" t="inlineStr">
        <is>
          <t>À tester</t>
        </is>
      </c>
      <c r="J52" s="15" t="inlineStr"/>
      <c r="K52" s="14" t="inlineStr"/>
      <c r="L52" s="15" t="inlineStr"/>
    </row>
    <row r="53">
      <c r="A53" s="11" t="inlineStr">
        <is>
          <t>MWO-09</t>
        </is>
      </c>
      <c r="B53" s="12" t="inlineStr">
        <is>
          <t>Modération web</t>
        </is>
      </c>
      <c r="C53" s="12" t="inlineStr">
        <is>
          <t>Score de modération</t>
        </is>
      </c>
      <c r="D53" s="16" t="inlineStr">
        <is>
          <t>Majeure</t>
        </is>
      </c>
      <c r="E53" s="12" t="inlineStr">
        <is>
          <t>Un membre avec sanctions actives et expirées</t>
        </is>
      </c>
      <c r="F53" s="12" t="inlineStr">
        <is>
          <t>Ouvrir sa fiche et comparer le score aux compteurs.</t>
        </is>
      </c>
      <c r="G53" s="12" t="inlineStr">
        <is>
          <t>Le score ne compte que l'actif, et le détail sous le chiffre concorde avec les compteurs affichés.</t>
        </is>
      </c>
      <c r="H53" s="12" t="inlineStr">
        <is>
          <t>Dashboard &gt; fiche membre</t>
        </is>
      </c>
      <c r="I53" s="14" t="inlineStr">
        <is>
          <t>À tester</t>
        </is>
      </c>
      <c r="J53" s="15" t="inlineStr"/>
      <c r="K53" s="14" t="inlineStr"/>
      <c r="L53" s="15" t="inlineStr"/>
    </row>
    <row r="54">
      <c r="A54" s="11" t="inlineStr">
        <is>
          <t>MWO-10</t>
        </is>
      </c>
      <c r="B54" s="12" t="inlineStr">
        <is>
          <t>Modération web</t>
        </is>
      </c>
      <c r="C54" s="12" t="inlineStr">
        <is>
          <t>Recherche et tri des membres</t>
        </is>
      </c>
      <c r="D54" s="16" t="inlineStr">
        <is>
          <t>Majeure</t>
        </is>
      </c>
      <c r="E54" s="12" t="inlineStr">
        <is>
          <t>Plusieurs membres</t>
        </is>
      </c>
      <c r="F54" s="12" t="inlineStr">
        <is>
          <t>Rechercher par pseudo, puis par identifiant ; trier par chaque colonne.</t>
        </is>
      </c>
      <c r="G54" s="12" t="inlineStr">
        <is>
          <t>Les résultats sont justes et la pagination suit le tri.</t>
        </is>
      </c>
      <c r="H54" s="12" t="inlineStr">
        <is>
          <t>Dashboard &gt; Membres</t>
        </is>
      </c>
      <c r="I54" s="14" t="inlineStr">
        <is>
          <t>À tester</t>
        </is>
      </c>
      <c r="J54" s="15" t="inlineStr"/>
      <c r="K54" s="14" t="inlineStr"/>
      <c r="L54" s="15" t="inlineStr"/>
    </row>
    <row r="55">
      <c r="A55" s="11" t="inlineStr">
        <is>
          <t>MWO-11</t>
        </is>
      </c>
      <c r="B55" s="12" t="inlineStr">
        <is>
          <t>Modération web</t>
        </is>
      </c>
      <c r="C55" s="12" t="inlineStr">
        <is>
          <t>Notes internes</t>
        </is>
      </c>
      <c r="D55" s="16" t="inlineStr">
        <is>
          <t>Mineure</t>
        </is>
      </c>
      <c r="E55" s="12" t="inlineStr">
        <is>
          <t>Permission notes:write</t>
        </is>
      </c>
      <c r="F55" s="12" t="inlineStr">
        <is>
          <t>Ajouter, modifier puis supprimer une note sur une fiche.</t>
        </is>
      </c>
      <c r="G55" s="12" t="inlineStr">
        <is>
          <t>Les trois opérations aboutissent et sont tracées dans le journal d'activité.</t>
        </is>
      </c>
      <c r="H55" s="12" t="inlineStr">
        <is>
          <t>Dashboard &gt; fiche membre</t>
        </is>
      </c>
      <c r="I55" s="14" t="inlineStr">
        <is>
          <t>À tester</t>
        </is>
      </c>
      <c r="J55" s="15" t="inlineStr"/>
      <c r="K55" s="14" t="inlineStr"/>
      <c r="L55" s="15" t="inlineStr"/>
    </row>
    <row r="56">
      <c r="A56" s="11" t="inlineStr">
        <is>
          <t>TIC-01</t>
        </is>
      </c>
      <c r="B56" s="12" t="inlineStr">
        <is>
          <t>Tickets</t>
        </is>
      </c>
      <c r="C56" s="12" t="inlineStr">
        <is>
          <t>Configurer les sujets</t>
        </is>
      </c>
      <c r="D56" s="13" t="inlineStr">
        <is>
          <t>Critique</t>
        </is>
      </c>
      <c r="E56" s="12" t="inlineStr">
        <is>
          <t>Permission tickets:write</t>
        </is>
      </c>
      <c r="F56" s="12" t="inlineStr">
        <is>
          <t>Ajouter deux sujets avec catégorie et gravité par défaut.</t>
        </is>
      </c>
      <c r="G56" s="12" t="inlineStr">
        <is>
          <t>Les sujets apparaissent dans la modale d'ouverture sur Discord.</t>
        </is>
      </c>
      <c r="H56" s="12" t="inlineStr">
        <is>
          <t>Dashboard &gt; Configuration des tickets</t>
        </is>
      </c>
      <c r="I56" s="14" t="inlineStr">
        <is>
          <t>À tester</t>
        </is>
      </c>
      <c r="J56" s="15" t="inlineStr"/>
      <c r="K56" s="14" t="inlineStr"/>
      <c r="L56" s="15" t="inlineStr"/>
    </row>
    <row r="57">
      <c r="A57" s="11" t="inlineStr">
        <is>
          <t>TIC-02</t>
        </is>
      </c>
      <c r="B57" s="12" t="inlineStr">
        <is>
          <t>Tickets</t>
        </is>
      </c>
      <c r="C57" s="12" t="inlineStr">
        <is>
          <t>Publier le panneau</t>
        </is>
      </c>
      <c r="D57" s="13" t="inlineStr">
        <is>
          <t>Critique</t>
        </is>
      </c>
      <c r="E57" s="12" t="inlineStr">
        <is>
          <t>Au moins un sujet configuré</t>
        </is>
      </c>
      <c r="F57" s="12" t="inlineStr">
        <is>
          <t>`/create_ticket_panel` dans un salon.</t>
        </is>
      </c>
      <c r="G57" s="12" t="inlineStr">
        <is>
          <t>Un message avec un bouton est publié. Le bouton ouvre la modale.</t>
        </is>
      </c>
      <c r="H57" s="12" t="inlineStr">
        <is>
          <t>Discord</t>
        </is>
      </c>
      <c r="I57" s="14" t="inlineStr">
        <is>
          <t>À tester</t>
        </is>
      </c>
      <c r="J57" s="15" t="inlineStr"/>
      <c r="K57" s="14" t="inlineStr"/>
      <c r="L57" s="15" t="inlineStr"/>
    </row>
    <row r="58">
      <c r="A58" s="11" t="inlineStr">
        <is>
          <t>TIC-03</t>
        </is>
      </c>
      <c r="B58" s="12" t="inlineStr">
        <is>
          <t>Tickets</t>
        </is>
      </c>
      <c r="C58" s="12" t="inlineStr">
        <is>
          <t>Ouvrir un ticket</t>
        </is>
      </c>
      <c r="D58" s="13" t="inlineStr">
        <is>
          <t>Critique</t>
        </is>
      </c>
      <c r="E58" s="12" t="inlineStr">
        <is>
          <t>Panneau publié</t>
        </is>
      </c>
      <c r="F58" s="12" t="inlineStr">
        <is>
          <t>Cliquer le bouton, choisir un sujet et une gravité, décrire la demande.</t>
        </is>
      </c>
      <c r="G58" s="12" t="inlineStr">
        <is>
          <t>Un salon privé est créé, visible de l'ouvreur et du staff. Le ticket apparaît dans le dashboard.</t>
        </is>
      </c>
      <c r="H58" s="12" t="inlineStr">
        <is>
          <t>Discord + Dashboard &gt; Tickets</t>
        </is>
      </c>
      <c r="I58" s="14" t="inlineStr">
        <is>
          <t>À tester</t>
        </is>
      </c>
      <c r="J58" s="15" t="inlineStr"/>
      <c r="K58" s="14" t="inlineStr"/>
      <c r="L58" s="15" t="inlineStr"/>
    </row>
    <row r="59">
      <c r="A59" s="11" t="inlineStr">
        <is>
          <t>TIC-04</t>
        </is>
      </c>
      <c r="B59" s="12" t="inlineStr">
        <is>
          <t>Tickets</t>
        </is>
      </c>
      <c r="C59" s="12" t="inlineStr">
        <is>
          <t>Mention du rôle à l'ouverture</t>
        </is>
      </c>
      <c r="D59" s="16" t="inlineStr">
        <is>
          <t>Majeure</t>
        </is>
      </c>
      <c r="E59" s="12" t="inlineStr">
        <is>
          <t>Un rôle renseigné et choisi dans Rôles &amp; mentions</t>
        </is>
      </c>
      <c r="F59" s="12" t="inlineStr">
        <is>
          <t>Ouvrir un ticket.</t>
        </is>
      </c>
      <c r="G59" s="12" t="inlineStr">
        <is>
          <t>Le rôle est mentionné dans le salon et y a accès. Sans rôle configuré, aucune mention.</t>
        </is>
      </c>
      <c r="H59" s="12" t="inlineStr">
        <is>
          <t>Discord &gt; salon du ticket</t>
        </is>
      </c>
      <c r="I59" s="14" t="inlineStr">
        <is>
          <t>À tester</t>
        </is>
      </c>
      <c r="J59" s="15" t="inlineStr"/>
      <c r="K59" s="14" t="inlineStr"/>
      <c r="L59" s="15" t="inlineStr"/>
    </row>
    <row r="60">
      <c r="A60" s="11" t="inlineStr">
        <is>
          <t>TIC-05</t>
        </is>
      </c>
      <c r="B60" s="12" t="inlineStr">
        <is>
          <t>Tickets</t>
        </is>
      </c>
      <c r="C60" s="12" t="inlineStr">
        <is>
          <t>Limite de tickets ouverts</t>
        </is>
      </c>
      <c r="D60" s="16" t="inlineStr">
        <is>
          <t>Majeure</t>
        </is>
      </c>
      <c r="E60" s="12" t="inlineStr">
        <is>
          <t>Limite réglée à 1</t>
        </is>
      </c>
      <c r="F60" s="12" t="inlineStr">
        <is>
          <t>Ouvrir un ticket, puis tenter d'en ouvrir un second.</t>
        </is>
      </c>
      <c r="G60" s="12" t="inlineStr">
        <is>
          <t>Le second est refusé avant même l'ouverture de la modale.</t>
        </is>
      </c>
      <c r="H60" s="12" t="inlineStr">
        <is>
          <t>Discord</t>
        </is>
      </c>
      <c r="I60" s="14" t="inlineStr">
        <is>
          <t>À tester</t>
        </is>
      </c>
      <c r="J60" s="15" t="inlineStr"/>
      <c r="K60" s="14" t="inlineStr"/>
      <c r="L60" s="15" t="inlineStr"/>
    </row>
    <row r="61">
      <c r="A61" s="11" t="inlineStr">
        <is>
          <t>TIC-06</t>
        </is>
      </c>
      <c r="B61" s="12" t="inlineStr">
        <is>
          <t>Tickets</t>
        </is>
      </c>
      <c r="C61" s="12" t="inlineStr">
        <is>
          <t>Prise en charge</t>
        </is>
      </c>
      <c r="D61" s="16" t="inlineStr">
        <is>
          <t>Majeure</t>
        </is>
      </c>
      <c r="E61" s="12" t="inlineStr">
        <is>
          <t>Un ticket ouvert, un préfixe posé via /prefix_ticket</t>
        </is>
      </c>
      <c r="F61" s="12" t="inlineStr">
        <is>
          <t>Cliquer « Prendre le ticket ».</t>
        </is>
      </c>
      <c r="G61" s="12" t="inlineStr">
        <is>
          <t>Le salon est renommé avec le préfixe. Le délai de première réponse est renseigné.</t>
        </is>
      </c>
      <c r="H61" s="12" t="inlineStr">
        <is>
          <t>Discord + Dashboard &gt; Tickets</t>
        </is>
      </c>
      <c r="I61" s="14" t="inlineStr">
        <is>
          <t>À tester</t>
        </is>
      </c>
      <c r="J61" s="15" t="inlineStr"/>
      <c r="K61" s="14" t="inlineStr"/>
      <c r="L61" s="15" t="inlineStr"/>
    </row>
    <row r="62">
      <c r="A62" s="11" t="inlineStr">
        <is>
          <t>TIC-07</t>
        </is>
      </c>
      <c r="B62" s="12" t="inlineStr">
        <is>
          <t>Tickets</t>
        </is>
      </c>
      <c r="C62" s="12" t="inlineStr">
        <is>
          <t>Prise en charge sans préfixe</t>
        </is>
      </c>
      <c r="D62" s="16" t="inlineStr">
        <is>
          <t>Mineure</t>
        </is>
      </c>
      <c r="E62" s="12" t="inlineStr">
        <is>
          <t>Un ticket ouvert, aucun préfixe</t>
        </is>
      </c>
      <c r="F62" s="12" t="inlineStr">
        <is>
          <t>Cliquer « Prendre le ticket ».</t>
        </is>
      </c>
      <c r="G62" s="12" t="inlineStr">
        <is>
          <t>Refus explicite renvoyant vers /prefix_ticket.</t>
        </is>
      </c>
      <c r="H62" s="12" t="inlineStr">
        <is>
          <t>Discord</t>
        </is>
      </c>
      <c r="I62" s="14" t="inlineStr">
        <is>
          <t>À tester</t>
        </is>
      </c>
      <c r="J62" s="15" t="inlineStr"/>
      <c r="K62" s="14" t="inlineStr"/>
      <c r="L62" s="15" t="inlineStr"/>
    </row>
    <row r="63">
      <c r="A63" s="11" t="inlineStr">
        <is>
          <t>TIC-08</t>
        </is>
      </c>
      <c r="B63" s="12" t="inlineStr">
        <is>
          <t>Tickets</t>
        </is>
      </c>
      <c r="C63" s="12" t="inlineStr">
        <is>
          <t>Double prise en charge</t>
        </is>
      </c>
      <c r="D63" s="16" t="inlineStr">
        <is>
          <t>Mineure</t>
        </is>
      </c>
      <c r="E63" s="12" t="inlineStr">
        <is>
          <t>Un ticket ouvert, deux modérateurs</t>
        </is>
      </c>
      <c r="F63" s="12" t="inlineStr">
        <is>
          <t>Cliquer « Prendre le ticket » presque simultanément.</t>
        </is>
      </c>
      <c r="G63" s="12" t="inlineStr">
        <is>
          <t>Un seul l'emporte. Le salon n'est renommé qu'une fois.</t>
        </is>
      </c>
      <c r="H63" s="12" t="inlineStr">
        <is>
          <t>Discord</t>
        </is>
      </c>
      <c r="I63" s="14" t="inlineStr">
        <is>
          <t>À tester</t>
        </is>
      </c>
      <c r="J63" s="15" t="inlineStr"/>
      <c r="K63" s="14" t="inlineStr"/>
      <c r="L63" s="15" t="inlineStr"/>
    </row>
    <row r="64">
      <c r="A64" s="11" t="inlineStr">
        <is>
          <t>TIC-09</t>
        </is>
      </c>
      <c r="B64" s="12" t="inlineStr">
        <is>
          <t>Tickets</t>
        </is>
      </c>
      <c r="C64" s="12" t="inlineStr">
        <is>
          <t>Messages et pièces jointes</t>
        </is>
      </c>
      <c r="D64" s="16" t="inlineStr">
        <is>
          <t>Majeure</t>
        </is>
      </c>
      <c r="E64" s="12" t="inlineStr">
        <is>
          <t>Un ticket ouvert</t>
        </is>
      </c>
      <c r="F64" s="12" t="inlineStr">
        <is>
          <t>Échanger plusieurs messages, joindre une image et un fichier volumineux.</t>
        </is>
      </c>
      <c r="G64" s="12" t="inlineStr">
        <is>
          <t>Tout est repris dans le dashboard. Un fichier au-delà de 25 Mo est ignoré sans casser l'enregistrement.</t>
        </is>
      </c>
      <c r="H64" s="12" t="inlineStr">
        <is>
          <t>Dashboard &gt; fiche du ticket</t>
        </is>
      </c>
      <c r="I64" s="14" t="inlineStr">
        <is>
          <t>À tester</t>
        </is>
      </c>
      <c r="J64" s="15" t="inlineStr"/>
      <c r="K64" s="14" t="inlineStr"/>
      <c r="L64" s="15" t="inlineStr"/>
    </row>
    <row r="65">
      <c r="A65" s="11" t="inlineStr">
        <is>
          <t>TIC-10</t>
        </is>
      </c>
      <c r="B65" s="12" t="inlineStr">
        <is>
          <t>Tickets</t>
        </is>
      </c>
      <c r="C65" s="12" t="inlineStr">
        <is>
          <t>Fermeture</t>
        </is>
      </c>
      <c r="D65" s="13" t="inlineStr">
        <is>
          <t>Critique</t>
        </is>
      </c>
      <c r="E65" s="12" t="inlineStr">
        <is>
          <t>Un ticket ouvert</t>
        </is>
      </c>
      <c r="F65" s="12" t="inlineStr">
        <is>
          <t>Cliquer « Fermer le ticket ».</t>
        </is>
      </c>
      <c r="G65" s="12" t="inlineStr">
        <is>
          <t>Le salon disparaît de la liste de l'ouvreur. Le staff y a toujours accès.</t>
        </is>
      </c>
      <c r="H65" s="12" t="inlineStr">
        <is>
          <t>Discord</t>
        </is>
      </c>
      <c r="I65" s="14" t="inlineStr">
        <is>
          <t>À tester</t>
        </is>
      </c>
      <c r="J65" s="15" t="inlineStr"/>
      <c r="K65" s="14" t="inlineStr"/>
      <c r="L65" s="15" t="inlineStr"/>
    </row>
    <row r="66">
      <c r="A66" s="11" t="inlineStr">
        <is>
          <t>TIC-11</t>
        </is>
      </c>
      <c r="B66" s="12" t="inlineStr">
        <is>
          <t>Tickets</t>
        </is>
      </c>
      <c r="C66" s="12" t="inlineStr">
        <is>
          <t>Réouverture</t>
        </is>
      </c>
      <c r="D66" s="16" t="inlineStr">
        <is>
          <t>Majeure</t>
        </is>
      </c>
      <c r="E66" s="12" t="inlineStr">
        <is>
          <t>Un ticket fermé</t>
        </is>
      </c>
      <c r="F66" s="12" t="inlineStr">
        <is>
          <t>Cliquer « Rouvrir ».</t>
        </is>
      </c>
      <c r="G66" s="12" t="inlineStr">
        <is>
          <t>L'ouvreur retrouve l'accès en lecture et en écriture.</t>
        </is>
      </c>
      <c r="H66" s="12" t="inlineStr">
        <is>
          <t>Discord</t>
        </is>
      </c>
      <c r="I66" s="14" t="inlineStr">
        <is>
          <t>À tester</t>
        </is>
      </c>
      <c r="J66" s="15" t="inlineStr"/>
      <c r="K66" s="14" t="inlineStr"/>
      <c r="L66" s="15" t="inlineStr"/>
    </row>
    <row r="67">
      <c r="A67" s="11" t="inlineStr">
        <is>
          <t>TIC-12</t>
        </is>
      </c>
      <c r="B67" s="12" t="inlineStr">
        <is>
          <t>Tickets</t>
        </is>
      </c>
      <c r="C67" s="12" t="inlineStr">
        <is>
          <t>Suppression et transcript</t>
        </is>
      </c>
      <c r="D67" s="16" t="inlineStr">
        <is>
          <t>Majeure</t>
        </is>
      </c>
      <c r="E67" s="12" t="inlineStr">
        <is>
          <t>Un ticket fermé</t>
        </is>
      </c>
      <c r="F67" s="12" t="inlineStr">
        <is>
          <t>Cliquer « Supprimer ».</t>
        </is>
      </c>
      <c r="G67" s="12" t="inlineStr">
        <is>
          <t>Le transcript est posté dans le salon d'archive. Le ticket reste consultable dans le dashboard.</t>
        </is>
      </c>
      <c r="H67" s="12" t="inlineStr">
        <is>
          <t>Discord + Dashboard &gt; Tickets</t>
        </is>
      </c>
      <c r="I67" s="14" t="inlineStr">
        <is>
          <t>À tester</t>
        </is>
      </c>
      <c r="J67" s="15" t="inlineStr"/>
      <c r="K67" s="14" t="inlineStr"/>
      <c r="L67" s="15" t="inlineStr"/>
    </row>
    <row r="68">
      <c r="A68" s="11" t="inlineStr">
        <is>
          <t>TIC-13</t>
        </is>
      </c>
      <c r="B68" s="12" t="inlineStr">
        <is>
          <t>Tickets</t>
        </is>
      </c>
      <c r="C68" s="12" t="inlineStr">
        <is>
          <t>Suppression manuelle du salon</t>
        </is>
      </c>
      <c r="D68" s="16" t="inlineStr">
        <is>
          <t>Mineure</t>
        </is>
      </c>
      <c r="E68" s="12" t="inlineStr">
        <is>
          <t>Un ticket ouvert</t>
        </is>
      </c>
      <c r="F68" s="12" t="inlineStr">
        <is>
          <t>Supprimer le salon à la main dans Discord.</t>
        </is>
      </c>
      <c r="G68" s="12" t="inlineStr">
        <is>
          <t>Le ticket reste en base, son salon passe à vide, un événement d'archivage est posé.</t>
        </is>
      </c>
      <c r="H68" s="12" t="inlineStr">
        <is>
          <t>Dashboard &gt; fiche du ticket</t>
        </is>
      </c>
      <c r="I68" s="14" t="inlineStr">
        <is>
          <t>À tester</t>
        </is>
      </c>
      <c r="J68" s="15" t="inlineStr"/>
      <c r="K68" s="14" t="inlineStr"/>
      <c r="L68" s="15" t="inlineStr"/>
    </row>
    <row r="69">
      <c r="A69" s="11" t="inlineStr">
        <is>
          <t>VOC-01</t>
        </is>
      </c>
      <c r="B69" s="12" t="inlineStr">
        <is>
          <t>Vocaux</t>
        </is>
      </c>
      <c r="C69" s="12" t="inlineStr">
        <is>
          <t>Créer les salons de création</t>
        </is>
      </c>
      <c r="D69" s="13" t="inlineStr">
        <is>
          <t>Critique</t>
        </is>
      </c>
      <c r="E69" s="12" t="inlineStr">
        <is>
          <t>Un salon de création configuré et actif</t>
        </is>
      </c>
      <c r="F69" s="12" t="inlineStr">
        <is>
          <t>`/create_parties`.</t>
        </is>
      </c>
      <c r="G69" s="12" t="inlineStr">
        <is>
          <t>Les salons vocaux d'accueil sont créés dans la catégorie prévue.</t>
        </is>
      </c>
      <c r="H69" s="12" t="inlineStr">
        <is>
          <t>Discord</t>
        </is>
      </c>
      <c r="I69" s="14" t="inlineStr">
        <is>
          <t>À tester</t>
        </is>
      </c>
      <c r="J69" s="15" t="inlineStr"/>
      <c r="K69" s="14" t="inlineStr"/>
      <c r="L69" s="15" t="inlineStr"/>
    </row>
    <row r="70">
      <c r="A70" s="11" t="inlineStr">
        <is>
          <t>VOC-02</t>
        </is>
      </c>
      <c r="B70" s="12" t="inlineStr">
        <is>
          <t>Vocaux</t>
        </is>
      </c>
      <c r="C70" s="12" t="inlineStr">
        <is>
          <t>Création d'un salon temporaire</t>
        </is>
      </c>
      <c r="D70" s="13" t="inlineStr">
        <is>
          <t>Critique</t>
        </is>
      </c>
      <c r="E70" s="12" t="inlineStr">
        <is>
          <t>Un salon de création en place</t>
        </is>
      </c>
      <c r="F70" s="12" t="inlineStr">
        <is>
          <t>Rejoindre le salon de création.</t>
        </is>
      </c>
      <c r="G70" s="12" t="inlineStr">
        <is>
          <t>Un salon dédié est créé, le membre y est déplacé et en devient propriétaire. Le panneau est posté.</t>
        </is>
      </c>
      <c r="H70" s="12" t="inlineStr">
        <is>
          <t>Discord + journal des vocaux</t>
        </is>
      </c>
      <c r="I70" s="14" t="inlineStr">
        <is>
          <t>À tester</t>
        </is>
      </c>
      <c r="J70" s="15" t="inlineStr"/>
      <c r="K70" s="14" t="inlineStr"/>
      <c r="L70" s="15" t="inlineStr"/>
    </row>
    <row r="71">
      <c r="A71" s="11" t="inlineStr">
        <is>
          <t>VOC-03</t>
        </is>
      </c>
      <c r="B71" s="12" t="inlineStr">
        <is>
          <t>Vocaux</t>
        </is>
      </c>
      <c r="C71" s="12" t="inlineStr">
        <is>
          <t>Composition d'équipe</t>
        </is>
      </c>
      <c r="D71" s="16" t="inlineStr">
        <is>
          <t>Majeure</t>
        </is>
      </c>
      <c r="E71" s="12" t="inlineStr">
        <is>
          <t>Un salon temporaire dont on est propriétaire</t>
        </is>
      </c>
      <c r="F71" s="12" t="inlineStr">
        <is>
          <t>Panneau &gt; Personnaliser : renseigner tank, DPS et support.</t>
        </is>
      </c>
      <c r="G71" s="12" t="inlineStr">
        <is>
          <t>Le sujet du salon affiche « rang · plateforme · 🛡️ x/y · ⚔️ x/y · 💉 x/y ».</t>
        </is>
      </c>
      <c r="H71" s="12" t="inlineStr">
        <is>
          <t>Discord, sous le nom du salon</t>
        </is>
      </c>
      <c r="I71" s="14" t="inlineStr">
        <is>
          <t>À tester</t>
        </is>
      </c>
      <c r="J71" s="15" t="inlineStr"/>
      <c r="K71" s="14" t="inlineStr"/>
      <c r="L71" s="15" t="inlineStr"/>
    </row>
    <row r="72">
      <c r="A72" s="11" t="inlineStr">
        <is>
          <t>VOC-04</t>
        </is>
      </c>
      <c r="B72" s="12" t="inlineStr">
        <is>
          <t>Vocaux</t>
        </is>
      </c>
      <c r="C72" s="12" t="inlineStr">
        <is>
          <t>Place au-delà du total</t>
        </is>
      </c>
      <c r="D72" s="16" t="inlineStr">
        <is>
          <t>Mineure</t>
        </is>
      </c>
      <c r="E72" s="12" t="inlineStr">
        <is>
          <t>Composition réglée à 2 tanks</t>
        </is>
      </c>
      <c r="F72" s="12" t="inlineStr">
        <is>
          <t>Saisir 3 dans le champ Tank.</t>
        </is>
      </c>
      <c r="G72" s="12" t="inlineStr">
        <is>
          <t>La soumission est refusée avec un message indiquant la borne.</t>
        </is>
      </c>
      <c r="H72" s="12" t="inlineStr">
        <is>
          <t>Discord</t>
        </is>
      </c>
      <c r="I72" s="14" t="inlineStr">
        <is>
          <t>À tester</t>
        </is>
      </c>
      <c r="J72" s="15" t="inlineStr"/>
      <c r="K72" s="14" t="inlineStr"/>
      <c r="L72" s="15" t="inlineStr"/>
    </row>
    <row r="73">
      <c r="A73" s="11" t="inlineStr">
        <is>
          <t>VOC-05</t>
        </is>
      </c>
      <c r="B73" s="12" t="inlineStr">
        <is>
          <t>Vocaux</t>
        </is>
      </c>
      <c r="C73" s="12" t="inlineStr">
        <is>
          <t>Effacer la composition</t>
        </is>
      </c>
      <c r="D73" s="16" t="inlineStr">
        <is>
          <t>Mineure</t>
        </is>
      </c>
      <c r="E73" s="12" t="inlineStr">
        <is>
          <t>Une composition déjà renseignée</t>
        </is>
      </c>
      <c r="F73" s="12" t="inlineStr">
        <is>
          <t>Rouvrir la modale et vider les trois champs.</t>
        </is>
      </c>
      <c r="G73" s="12" t="inlineStr">
        <is>
          <t>La ligne des rôles disparaît du sujet.</t>
        </is>
      </c>
      <c r="H73" s="12" t="inlineStr">
        <is>
          <t>Discord</t>
        </is>
      </c>
      <c r="I73" s="14" t="inlineStr">
        <is>
          <t>À tester</t>
        </is>
      </c>
      <c r="J73" s="15" t="inlineStr"/>
      <c r="K73" s="14" t="inlineStr"/>
      <c r="L73" s="15" t="inlineStr"/>
    </row>
    <row r="74">
      <c r="A74" s="11" t="inlineStr">
        <is>
          <t>VOC-06</t>
        </is>
      </c>
      <c r="B74" s="12" t="inlineStr">
        <is>
          <t>Vocaux</t>
        </is>
      </c>
      <c r="C74" s="12" t="inlineStr">
        <is>
          <t>Rôle sans place</t>
        </is>
      </c>
      <c r="D74" s="16" t="inlineStr">
        <is>
          <t>Mineure</t>
        </is>
      </c>
      <c r="E74" s="12" t="inlineStr">
        <is>
          <t>Un salon de création avec 0 support</t>
        </is>
      </c>
      <c r="F74" s="12" t="inlineStr">
        <is>
          <t>Ouvrir la modale de personnalisation.</t>
        </is>
      </c>
      <c r="G74" s="12" t="inlineStr">
        <is>
          <t>Aucun champ Support, et le sujet n'affiche pas « 0/0 ».</t>
        </is>
      </c>
      <c r="H74" s="12" t="inlineStr">
        <is>
          <t>Discord</t>
        </is>
      </c>
      <c r="I74" s="14" t="inlineStr">
        <is>
          <t>À tester</t>
        </is>
      </c>
      <c r="J74" s="15" t="inlineStr"/>
      <c r="K74" s="14" t="inlineStr"/>
      <c r="L74" s="15" t="inlineStr"/>
    </row>
    <row r="75">
      <c r="A75" s="11" t="inlineStr">
        <is>
          <t>VOC-07</t>
        </is>
      </c>
      <c r="B75" s="12" t="inlineStr">
        <is>
          <t>Vocaux</t>
        </is>
      </c>
      <c r="C75" s="12" t="inlineStr">
        <is>
          <t>Rangement par rang</t>
        </is>
      </c>
      <c r="D75" s="16" t="inlineStr">
        <is>
          <t>Majeure</t>
        </is>
      </c>
      <c r="E75" s="12" t="inlineStr">
        <is>
          <t>Salon de création en mode RANK_CATEGORY, des rangs configurés</t>
        </is>
      </c>
      <c r="F75" s="12" t="inlineStr">
        <is>
          <t>Choisir un rang dans la modale.</t>
        </is>
      </c>
      <c r="G75" s="12" t="inlineStr">
        <is>
          <t>Le salon est déplacé dans la catégorie du rang, créée au besoin. Les permissions du salon sont conservées.</t>
        </is>
      </c>
      <c r="H75" s="12" t="inlineStr">
        <is>
          <t>Discord</t>
        </is>
      </c>
      <c r="I75" s="14" t="inlineStr">
        <is>
          <t>À tester</t>
        </is>
      </c>
      <c r="J75" s="15" t="inlineStr"/>
      <c r="K75" s="14" t="inlineStr"/>
      <c r="L75" s="15" t="inlineStr"/>
    </row>
    <row r="76">
      <c r="A76" s="11" t="inlineStr">
        <is>
          <t>VOC-08</t>
        </is>
      </c>
      <c r="B76" s="12" t="inlineStr">
        <is>
          <t>Vocaux</t>
        </is>
      </c>
      <c r="C76" s="12" t="inlineStr">
        <is>
          <t>Catégorie pleine</t>
        </is>
      </c>
      <c r="D76" s="16" t="inlineStr">
        <is>
          <t>Mineure</t>
        </is>
      </c>
      <c r="E76" s="12" t="inlineStr">
        <is>
          <t>Une catégorie de rang à 50 salons</t>
        </is>
      </c>
      <c r="F76" s="12" t="inlineStr">
        <is>
          <t>Choisir ce rang depuis un salon temporaire.</t>
        </is>
      </c>
      <c r="G76" s="12" t="inlineStr">
        <is>
          <t>Refus explicite, et le rang n'est pas enregistré.</t>
        </is>
      </c>
      <c r="H76" s="12" t="inlineStr">
        <is>
          <t>Discord</t>
        </is>
      </c>
      <c r="I76" s="14" t="inlineStr">
        <is>
          <t>À tester</t>
        </is>
      </c>
      <c r="J76" s="15" t="inlineStr"/>
      <c r="K76" s="14" t="inlineStr"/>
      <c r="L76" s="15" t="inlineStr"/>
    </row>
    <row r="77">
      <c r="A77" s="11" t="inlineStr">
        <is>
          <t>VOC-09</t>
        </is>
      </c>
      <c r="B77" s="12" t="inlineStr">
        <is>
          <t>Vocaux</t>
        </is>
      </c>
      <c r="C77" s="12" t="inlineStr">
        <is>
          <t>Catégorie vide supprimée</t>
        </is>
      </c>
      <c r="D77" s="16" t="inlineStr">
        <is>
          <t>Majeure</t>
        </is>
      </c>
      <c r="E77" s="12" t="inlineStr">
        <is>
          <t>Un seul salon dans une catégorie de rang</t>
        </is>
      </c>
      <c r="F77" s="12" t="inlineStr">
        <is>
          <t>Quitter le salon jusqu'à ce qu'il se ferme.</t>
        </is>
      </c>
      <c r="G77" s="12" t="inlineStr">
        <is>
          <t>La catégorie devenue vide est supprimée. Une catégorie faite à la main n'est pas touchée.</t>
        </is>
      </c>
      <c r="H77" s="12" t="inlineStr">
        <is>
          <t>Discord</t>
        </is>
      </c>
      <c r="I77" s="14" t="inlineStr">
        <is>
          <t>À tester</t>
        </is>
      </c>
      <c r="J77" s="15" t="inlineStr"/>
      <c r="K77" s="14" t="inlineStr"/>
      <c r="L77" s="15" t="inlineStr"/>
    </row>
    <row r="78">
      <c r="A78" s="11" t="inlineStr">
        <is>
          <t>VOC-10</t>
        </is>
      </c>
      <c r="B78" s="12" t="inlineStr">
        <is>
          <t>Vocaux</t>
        </is>
      </c>
      <c r="C78" s="12" t="inlineStr">
        <is>
          <t>Verrouillage</t>
        </is>
      </c>
      <c r="D78" s="16" t="inlineStr">
        <is>
          <t>Majeure</t>
        </is>
      </c>
      <c r="E78" s="12" t="inlineStr">
        <is>
          <t>Propriétaire d'un salon temporaire</t>
        </is>
      </c>
      <c r="F78" s="12" t="inlineStr">
        <is>
          <t>Panneau &gt; Verrouiller, puis tenter d'entrer avec un autre compte, puis Déverrouiller.</t>
        </is>
      </c>
      <c r="G78" s="12" t="inlineStr">
        <is>
          <t>Le salon se ferme et se rouvre. Le propriétaire n'est jamais enfermé dehors.</t>
        </is>
      </c>
      <c r="H78" s="12" t="inlineStr">
        <is>
          <t>Discord</t>
        </is>
      </c>
      <c r="I78" s="14" t="inlineStr">
        <is>
          <t>À tester</t>
        </is>
      </c>
      <c r="J78" s="15" t="inlineStr"/>
      <c r="K78" s="14" t="inlineStr"/>
      <c r="L78" s="15" t="inlineStr"/>
    </row>
    <row r="79">
      <c r="A79" s="11" t="inlineStr">
        <is>
          <t>VOC-11</t>
        </is>
      </c>
      <c r="B79" s="12" t="inlineStr">
        <is>
          <t>Vocaux</t>
        </is>
      </c>
      <c r="C79" s="12" t="inlineStr">
        <is>
          <t>Expulsion d'un salon</t>
        </is>
      </c>
      <c r="D79" s="16" t="inlineStr">
        <is>
          <t>Mineure</t>
        </is>
      </c>
      <c r="E79" s="12" t="inlineStr">
        <is>
          <t>Deux membres dans un salon temporaire</t>
        </is>
      </c>
      <c r="F79" s="12" t="inlineStr">
        <is>
          <t>Panneau &gt; Expulser, choisir le membre.</t>
        </is>
      </c>
      <c r="G79" s="12" t="inlineStr">
        <is>
          <t>Le membre est déconnecté du vocal, sans sanction sur le serveur.</t>
        </is>
      </c>
      <c r="H79" s="12" t="inlineStr">
        <is>
          <t>Discord</t>
        </is>
      </c>
      <c r="I79" s="14" t="inlineStr">
        <is>
          <t>À tester</t>
        </is>
      </c>
      <c r="J79" s="15" t="inlineStr"/>
      <c r="K79" s="14" t="inlineStr"/>
      <c r="L79" s="15" t="inlineStr"/>
    </row>
    <row r="80">
      <c r="A80" s="11" t="inlineStr">
        <is>
          <t>VOC-12</t>
        </is>
      </c>
      <c r="B80" s="12" t="inlineStr">
        <is>
          <t>Vocaux</t>
        </is>
      </c>
      <c r="C80" s="12" t="inlineStr">
        <is>
          <t>Transfert de propriété</t>
        </is>
      </c>
      <c r="D80" s="16" t="inlineStr">
        <is>
          <t>Majeure</t>
        </is>
      </c>
      <c r="E80" s="12" t="inlineStr">
        <is>
          <t>Deux membres dans un salon temporaire</t>
        </is>
      </c>
      <c r="F80" s="12" t="inlineStr">
        <is>
          <t>Faire quitter le propriétaire.</t>
        </is>
      </c>
      <c r="G80" s="12" t="inlineStr">
        <is>
          <t>La propriété passe au plus ancien occupant, qui reçoit l'accès garanti.</t>
        </is>
      </c>
      <c r="H80" s="12" t="inlineStr">
        <is>
          <t>Discord</t>
        </is>
      </c>
      <c r="I80" s="14" t="inlineStr">
        <is>
          <t>À tester</t>
        </is>
      </c>
      <c r="J80" s="15" t="inlineStr"/>
      <c r="K80" s="14" t="inlineStr"/>
      <c r="L80" s="15" t="inlineStr"/>
    </row>
    <row r="81">
      <c r="A81" s="11" t="inlineStr">
        <is>
          <t>VOC-13</t>
        </is>
      </c>
      <c r="B81" s="12" t="inlineStr">
        <is>
          <t>Vocaux</t>
        </is>
      </c>
      <c r="C81" s="12" t="inlineStr">
        <is>
          <t>Signalement d'un problème</t>
        </is>
      </c>
      <c r="D81" s="13" t="inlineStr">
        <is>
          <t>Critique</t>
        </is>
      </c>
      <c r="E81" s="12" t="inlineStr">
        <is>
          <t>Un salon temporaire, un rôle d'alerte configuré</t>
        </is>
      </c>
      <c r="F81" s="12" t="inlineStr">
        <is>
          <t>Panneau &gt; Signaler un problème, décrire.</t>
        </is>
      </c>
      <c r="G81" s="12" t="inlineStr">
        <is>
          <t>Le signalement arrive dans le journal des vocaux ET mentionne le rôle configuré.</t>
        </is>
      </c>
      <c r="H81" s="12" t="inlineStr">
        <is>
          <t>Discord &gt; journal des vocaux</t>
        </is>
      </c>
      <c r="I81" s="14" t="inlineStr">
        <is>
          <t>À tester</t>
        </is>
      </c>
      <c r="J81" s="15" t="inlineStr"/>
      <c r="K81" s="14" t="inlineStr"/>
      <c r="L81" s="15" t="inlineStr"/>
    </row>
    <row r="82">
      <c r="A82" s="11" t="inlineStr">
        <is>
          <t>VOC-14</t>
        </is>
      </c>
      <c r="B82" s="12" t="inlineStr">
        <is>
          <t>Vocaux</t>
        </is>
      </c>
      <c r="C82" s="12" t="inlineStr">
        <is>
          <t>Suppression du dernier occupant</t>
        </is>
      </c>
      <c r="D82" s="16" t="inlineStr">
        <is>
          <t>Majeure</t>
        </is>
      </c>
      <c r="E82" s="12" t="inlineStr">
        <is>
          <t>Un salon temporaire occupé</t>
        </is>
      </c>
      <c r="F82" s="12" t="inlineStr">
        <is>
          <t>Faire quitter tout le monde.</t>
        </is>
      </c>
      <c r="G82" s="12" t="inlineStr">
        <is>
          <t>Le salon est supprimé et l'entrée apparaît dans le journal des vocaux.</t>
        </is>
      </c>
      <c r="H82" s="12" t="inlineStr">
        <is>
          <t>Discord</t>
        </is>
      </c>
      <c r="I82" s="14" t="inlineStr">
        <is>
          <t>À tester</t>
        </is>
      </c>
      <c r="J82" s="15" t="inlineStr"/>
      <c r="K82" s="14" t="inlineStr"/>
      <c r="L82" s="15" t="inlineStr"/>
    </row>
    <row r="83">
      <c r="A83" s="11" t="inlineStr">
        <is>
          <t>VOC-15</t>
        </is>
      </c>
      <c r="B83" s="12" t="inlineStr">
        <is>
          <t>Vocaux</t>
        </is>
      </c>
      <c r="C83" s="12" t="inlineStr">
        <is>
          <t>Rattrapage au démarrage</t>
        </is>
      </c>
      <c r="D83" s="16" t="inlineStr">
        <is>
          <t>Majeure</t>
        </is>
      </c>
      <c r="E83" s="12" t="inlineStr">
        <is>
          <t>Bot arrêtable</t>
        </is>
      </c>
      <c r="F83" s="12" t="inlineStr">
        <is>
          <t>Arrêter le bot, vider un salon temporaire, le supprimer à la main, redémarrer.</t>
        </is>
      </c>
      <c r="G83" s="12" t="inlineStr">
        <is>
          <t>Les salons vides sont fermés, les survivants replacés dans leur catégorie, le sujet reposé.</t>
        </is>
      </c>
      <c r="H83" s="12" t="inlineStr">
        <is>
          <t>Discord + logs bot</t>
        </is>
      </c>
      <c r="I83" s="14" t="inlineStr">
        <is>
          <t>À tester</t>
        </is>
      </c>
      <c r="J83" s="15" t="inlineStr"/>
      <c r="K83" s="14" t="inlineStr"/>
      <c r="L83" s="15" t="inlineStr"/>
    </row>
    <row r="84">
      <c r="A84" s="11" t="inlineStr">
        <is>
          <t>VOC-16</t>
        </is>
      </c>
      <c r="B84" s="12" t="inlineStr">
        <is>
          <t>Vocaux</t>
        </is>
      </c>
      <c r="C84" s="12" t="inlineStr">
        <is>
          <t>Purge manuelle</t>
        </is>
      </c>
      <c r="D84" s="16" t="inlineStr">
        <is>
          <t>Mineure</t>
        </is>
      </c>
      <c r="E84" s="12" t="inlineStr">
        <is>
          <t>Des salons temporaires ouverts</t>
        </is>
      </c>
      <c r="F84" s="12" t="inlineStr">
        <is>
          <t>`/purge_vocaux`.</t>
        </is>
      </c>
      <c r="G84" s="12" t="inlineStr">
        <is>
          <t>Tous les salons temporaires sont supprimés ; les salons de création restent.</t>
        </is>
      </c>
      <c r="H84" s="12" t="inlineStr">
        <is>
          <t>Discord</t>
        </is>
      </c>
      <c r="I84" s="14" t="inlineStr">
        <is>
          <t>À tester</t>
        </is>
      </c>
      <c r="J84" s="15" t="inlineStr"/>
      <c r="K84" s="14" t="inlineStr"/>
      <c r="L84" s="15" t="inlineStr"/>
    </row>
    <row r="85">
      <c r="A85" s="11" t="inlineStr">
        <is>
          <t>EXP-01</t>
        </is>
      </c>
      <c r="B85" s="12" t="inlineStr">
        <is>
          <t>Expérience</t>
        </is>
      </c>
      <c r="C85" s="12" t="inlineStr">
        <is>
          <t>Gain d'XP</t>
        </is>
      </c>
      <c r="D85" s="16" t="inlineStr">
        <is>
          <t>Majeure</t>
        </is>
      </c>
      <c r="E85" s="12" t="inlineStr">
        <is>
          <t>Bot démarré</t>
        </is>
      </c>
      <c r="F85" s="12" t="inlineStr">
        <is>
          <t>Écrire plusieurs messages avec un compte de test.</t>
        </is>
      </c>
      <c r="G85" s="12" t="inlineStr">
        <is>
          <t>L'XP monte et `/rank` affiche une valeur à jour, y compris avant le vidage du tampon.</t>
        </is>
      </c>
      <c r="H85" s="12" t="inlineStr">
        <is>
          <t>Discord</t>
        </is>
      </c>
      <c r="I85" s="14" t="inlineStr">
        <is>
          <t>À tester</t>
        </is>
      </c>
      <c r="J85" s="15" t="inlineStr"/>
      <c r="K85" s="14" t="inlineStr"/>
      <c r="L85" s="15" t="inlineStr"/>
    </row>
    <row r="86">
      <c r="A86" s="11" t="inlineStr">
        <is>
          <t>EXP-02</t>
        </is>
      </c>
      <c r="B86" s="12" t="inlineStr">
        <is>
          <t>Expérience</t>
        </is>
      </c>
      <c r="C86" s="12" t="inlineStr">
        <is>
          <t>Classement</t>
        </is>
      </c>
      <c r="D86" s="16" t="inlineStr">
        <is>
          <t>Mineure</t>
        </is>
      </c>
      <c r="E86" s="12" t="inlineStr">
        <is>
          <t>Plusieurs membres avec de l'XP</t>
        </is>
      </c>
      <c r="F86" s="12" t="inlineStr">
        <is>
          <t>`/classement`, puis parcourir les pages.</t>
        </is>
      </c>
      <c r="G86" s="12" t="inlineStr">
        <is>
          <t>Le classement est cohérent avec la page Expérience du dashboard.</t>
        </is>
      </c>
      <c r="H86" s="12" t="inlineStr">
        <is>
          <t>Discord + Dashboard &gt; Expérience</t>
        </is>
      </c>
      <c r="I86" s="14" t="inlineStr">
        <is>
          <t>À tester</t>
        </is>
      </c>
      <c r="J86" s="15" t="inlineStr"/>
      <c r="K86" s="14" t="inlineStr"/>
      <c r="L86" s="15" t="inlineStr"/>
    </row>
    <row r="87">
      <c r="A87" s="11" t="inlineStr">
        <is>
          <t>EXP-03</t>
        </is>
      </c>
      <c r="B87" s="12" t="inlineStr">
        <is>
          <t>Expérience</t>
        </is>
      </c>
      <c r="C87" s="12" t="inlineStr">
        <is>
          <t>Palier de récompense</t>
        </is>
      </c>
      <c r="D87" s="16" t="inlineStr">
        <is>
          <t>Majeure</t>
        </is>
      </c>
      <c r="E87" s="12" t="inlineStr">
        <is>
          <t>Un palier configuré sur un niveau atteignable</t>
        </is>
      </c>
      <c r="F87" s="12" t="inlineStr">
        <is>
          <t>Faire monter un membre jusqu'au palier.</t>
        </is>
      </c>
      <c r="G87" s="12" t="inlineStr">
        <is>
          <t>Le rôle est attribué. Un rôle placé au-dessus du bot est ignoré sans bloquer les autres.</t>
        </is>
      </c>
      <c r="H87" s="12" t="inlineStr">
        <is>
          <t>Discord</t>
        </is>
      </c>
      <c r="I87" s="14" t="inlineStr">
        <is>
          <t>À tester</t>
        </is>
      </c>
      <c r="J87" s="15" t="inlineStr"/>
      <c r="K87" s="14" t="inlineStr"/>
      <c r="L87" s="15" t="inlineStr"/>
    </row>
    <row r="88">
      <c r="A88" s="11" t="inlineStr">
        <is>
          <t>EXP-04</t>
        </is>
      </c>
      <c r="B88" s="12" t="inlineStr">
        <is>
          <t>Expérience</t>
        </is>
      </c>
      <c r="C88" s="12" t="inlineStr">
        <is>
          <t>Palier ajouté après coup</t>
        </is>
      </c>
      <c r="D88" s="16" t="inlineStr">
        <is>
          <t>Majeure</t>
        </is>
      </c>
      <c r="E88" s="12" t="inlineStr">
        <is>
          <t>Des membres déjà au-dessus du niveau</t>
        </is>
      </c>
      <c r="F88" s="12" t="inlineStr">
        <is>
          <t>Ajouter un palier depuis le dashboard et attendre cinq minutes.</t>
        </is>
      </c>
      <c r="G88" s="12" t="inlineStr">
        <is>
          <t>Le rattrapage attribue le rôle aux membres concernés.</t>
        </is>
      </c>
      <c r="H88" s="12" t="inlineStr">
        <is>
          <t>Discord</t>
        </is>
      </c>
      <c r="I88" s="14" t="inlineStr">
        <is>
          <t>À tester</t>
        </is>
      </c>
      <c r="J88" s="15" t="inlineStr"/>
      <c r="K88" s="14" t="inlineStr"/>
      <c r="L88" s="15" t="inlineStr"/>
    </row>
    <row r="89">
      <c r="A89" s="11" t="inlineStr">
        <is>
          <t>EXP-05</t>
        </is>
      </c>
      <c r="B89" s="12" t="inlineStr">
        <is>
          <t>Expérience</t>
        </is>
      </c>
      <c r="C89" s="12" t="inlineStr">
        <is>
          <t>Annonce de montée de niveau</t>
        </is>
      </c>
      <c r="D89" s="16" t="inlineStr">
        <is>
          <t>Majeure</t>
        </is>
      </c>
      <c r="E89" s="12" t="inlineStr">
        <is>
          <t>Mode d'annonce réglé</t>
        </is>
      </c>
      <c r="F89" s="12" t="inlineStr">
        <is>
          <t>Tester les quatre modes : salon courant, salon dédié, message privé, aucune annonce.</t>
        </is>
      </c>
      <c r="G89" s="12" t="inlineStr">
        <is>
          <t>Chaque mode se comporte comme annoncé. L'aperçu du dashboard correspond au message réel.</t>
        </is>
      </c>
      <c r="H89" s="12" t="inlineStr">
        <is>
          <t>Discord</t>
        </is>
      </c>
      <c r="I89" s="14" t="inlineStr">
        <is>
          <t>À tester</t>
        </is>
      </c>
      <c r="J89" s="15" t="inlineStr"/>
      <c r="K89" s="14" t="inlineStr"/>
      <c r="L89" s="15" t="inlineStr"/>
    </row>
    <row r="90">
      <c r="A90" s="11" t="inlineStr">
        <is>
          <t>EXP-06</t>
        </is>
      </c>
      <c r="B90" s="12" t="inlineStr">
        <is>
          <t>Expérience</t>
        </is>
      </c>
      <c r="C90" s="12" t="inlineStr">
        <is>
          <t>Salon dédié introuvable</t>
        </is>
      </c>
      <c r="D90" s="16" t="inlineStr">
        <is>
          <t>Mineure</t>
        </is>
      </c>
      <c r="E90" s="12" t="inlineStr">
        <is>
          <t>Mode « salon dédié »</t>
        </is>
      </c>
      <c r="F90" s="12" t="inlineStr">
        <is>
          <t>Supprimer le salon dédié puis faire monter un membre.</t>
        </is>
      </c>
      <c r="G90" s="12" t="inlineStr">
        <is>
          <t>Aucune annonce ailleurs, et une erreur en console. Pas de repli sur le salon courant.</t>
        </is>
      </c>
      <c r="H90" s="12" t="inlineStr">
        <is>
          <t>Logs bot</t>
        </is>
      </c>
      <c r="I90" s="14" t="inlineStr">
        <is>
          <t>À tester</t>
        </is>
      </c>
      <c r="J90" s="15" t="inlineStr"/>
      <c r="K90" s="14" t="inlineStr"/>
      <c r="L90" s="15" t="inlineStr"/>
    </row>
    <row r="91">
      <c r="A91" s="11" t="inlineStr">
        <is>
          <t>A2-01</t>
        </is>
      </c>
      <c r="B91" s="12" t="inlineStr">
        <is>
          <t>Automodération</t>
        </is>
      </c>
      <c r="C91" s="12" t="inlineStr">
        <is>
          <t>Filtre de mots</t>
        </is>
      </c>
      <c r="D91" s="13" t="inlineStr">
        <is>
          <t>Critique</t>
        </is>
      </c>
      <c r="E91" s="12" t="inlineStr">
        <is>
          <t>Règle WORD_FILTER activée avec une liste de mots</t>
        </is>
      </c>
      <c r="F91" s="12" t="inlineStr">
        <is>
          <t>Écrire un message contenant un mot filtré.</t>
        </is>
      </c>
      <c r="G91" s="12" t="inlineStr">
        <is>
          <t>Incident enregistré. Action appliquée conformément au réglage (journal seul par défaut).</t>
        </is>
      </c>
      <c r="H91" s="12" t="inlineStr">
        <is>
          <t>Dashboard &gt; Automodération</t>
        </is>
      </c>
      <c r="I91" s="14" t="inlineStr">
        <is>
          <t>À tester</t>
        </is>
      </c>
      <c r="J91" s="15" t="inlineStr"/>
      <c r="K91" s="14" t="inlineStr"/>
      <c r="L91" s="15" t="inlineStr"/>
    </row>
    <row r="92">
      <c r="A92" s="11" t="inlineStr">
        <is>
          <t>A2-02</t>
        </is>
      </c>
      <c r="B92" s="12" t="inlineStr">
        <is>
          <t>Automodération</t>
        </is>
      </c>
      <c r="C92" s="12" t="inlineStr">
        <is>
          <t>Expression régulière</t>
        </is>
      </c>
      <c r="D92" s="16" t="inlineStr">
        <is>
          <t>Majeure</t>
        </is>
      </c>
      <c r="E92" s="12" t="inlineStr">
        <is>
          <t>Règle WORD_FILTER avec un motif regex</t>
        </is>
      </c>
      <c r="F92" s="12" t="inlineStr">
        <is>
          <t>Écrire un message correspondant au motif.</t>
        </is>
      </c>
      <c r="G92" s="12" t="inlineStr">
        <is>
          <t>L'incident se déclenche. Le message incriminé est conservé dans l'incident.</t>
        </is>
      </c>
      <c r="H92" s="12" t="inlineStr">
        <is>
          <t>Dashboard &gt; Automodération</t>
        </is>
      </c>
      <c r="I92" s="14" t="inlineStr">
        <is>
          <t>À tester</t>
        </is>
      </c>
      <c r="J92" s="15" t="inlineStr"/>
      <c r="K92" s="14" t="inlineStr"/>
      <c r="L92" s="15" t="inlineStr"/>
    </row>
    <row r="93">
      <c r="A93" s="11" t="inlineStr">
        <is>
          <t>A2-03</t>
        </is>
      </c>
      <c r="B93" s="12" t="inlineStr">
        <is>
          <t>Automodération</t>
        </is>
      </c>
      <c r="C93" s="12" t="inlineStr">
        <is>
          <t>Regex dangereuse refusée</t>
        </is>
      </c>
      <c r="D93" s="13" t="inlineStr">
        <is>
          <t>Critique</t>
        </is>
      </c>
      <c r="E93" s="12" t="inlineStr">
        <is>
          <t>Permission automod:write</t>
        </is>
      </c>
      <c r="F93" s="12" t="inlineStr">
        <is>
          <t>Tenter d'enregistrer un motif à quantificateurs imbriqués, par exemple (a+)+.</t>
        </is>
      </c>
      <c r="G93" s="12" t="inlineStr">
        <is>
          <t>L'API refuse. Le dashboard le signale avant même l'envoi.</t>
        </is>
      </c>
      <c r="H93" s="12" t="inlineStr">
        <is>
          <t>Dashboard &gt; Automodération</t>
        </is>
      </c>
      <c r="I93" s="14" t="inlineStr">
        <is>
          <t>À tester</t>
        </is>
      </c>
      <c r="J93" s="15" t="inlineStr"/>
      <c r="K93" s="14" t="inlineStr"/>
      <c r="L93" s="15" t="inlineStr"/>
    </row>
    <row r="94">
      <c r="A94" s="11" t="inlineStr">
        <is>
          <t>A2-04</t>
        </is>
      </c>
      <c r="B94" s="12" t="inlineStr">
        <is>
          <t>Automodération</t>
        </is>
      </c>
      <c r="C94" s="12" t="inlineStr">
        <is>
          <t>Débit de messages</t>
        </is>
      </c>
      <c r="D94" s="16" t="inlineStr">
        <is>
          <t>Majeure</t>
        </is>
      </c>
      <c r="E94" s="12" t="inlineStr">
        <is>
          <t>Règle SPAM_RATE activée</t>
        </is>
      </c>
      <c r="F94" s="12" t="inlineStr">
        <is>
          <t>Envoyer plus de messages que le seuil dans la fenêtre.</t>
        </is>
      </c>
      <c r="G94" s="12" t="inlineStr">
        <is>
          <t>Un seul incident et une seule sanction, pas un par message suivant.</t>
        </is>
      </c>
      <c r="H94" s="12" t="inlineStr">
        <is>
          <t>Dashboard &gt; Automodération</t>
        </is>
      </c>
      <c r="I94" s="14" t="inlineStr">
        <is>
          <t>À tester</t>
        </is>
      </c>
      <c r="J94" s="15" t="inlineStr"/>
      <c r="K94" s="14" t="inlineStr"/>
      <c r="L94" s="15" t="inlineStr"/>
    </row>
    <row r="95">
      <c r="A95" s="11" t="inlineStr">
        <is>
          <t>A2-05</t>
        </is>
      </c>
      <c r="B95" s="12" t="inlineStr">
        <is>
          <t>Automodération</t>
        </is>
      </c>
      <c r="C95" s="12" t="inlineStr">
        <is>
          <t>Envoi répété d'images</t>
        </is>
      </c>
      <c r="D95" s="16" t="inlineStr">
        <is>
          <t>Majeure</t>
        </is>
      </c>
      <c r="E95" s="12" t="inlineStr">
        <is>
          <t>Règle ATTACHMENT_SPAM activée</t>
        </is>
      </c>
      <c r="F95" s="12" t="inlineStr">
        <is>
          <t>Envoyer un seul message contenant dix images.</t>
        </is>
      </c>
      <c r="G95" s="12" t="inlineStr">
        <is>
          <t>La règle se déclenche, là où un seuil de débit ne verrait qu'un message.</t>
        </is>
      </c>
      <c r="H95" s="12" t="inlineStr">
        <is>
          <t>Dashboard &gt; Automodération</t>
        </is>
      </c>
      <c r="I95" s="14" t="inlineStr">
        <is>
          <t>À tester</t>
        </is>
      </c>
      <c r="J95" s="15" t="inlineStr"/>
      <c r="K95" s="14" t="inlineStr"/>
      <c r="L95" s="15" t="inlineStr"/>
    </row>
    <row r="96">
      <c r="A96" s="11" t="inlineStr">
        <is>
          <t>A2-06</t>
        </is>
      </c>
      <c r="B96" s="12" t="inlineStr">
        <is>
          <t>Automodération</t>
        </is>
      </c>
      <c r="C96" s="12" t="inlineStr">
        <is>
          <t>Exclusion automatique</t>
        </is>
      </c>
      <c r="D96" s="16" t="inlineStr">
        <is>
          <t>Majeure</t>
        </is>
      </c>
      <c r="E96" s="12" t="inlineStr">
        <is>
          <t>Règle réglée sur « Supprimer et exclure »</t>
        </is>
      </c>
      <c r="F96" s="12" t="inlineStr">
        <is>
          <t>Déclencher la règle.</t>
        </is>
      </c>
      <c r="G96" s="12" t="inlineStr">
        <is>
          <t>Le message est supprimé, le membre exclu, et la sanction montre le message incriminé.</t>
        </is>
      </c>
      <c r="H96" s="12" t="inlineStr">
        <is>
          <t>Dashboard &gt; Sanctions</t>
        </is>
      </c>
      <c r="I96" s="14" t="inlineStr">
        <is>
          <t>À tester</t>
        </is>
      </c>
      <c r="J96" s="15" t="inlineStr"/>
      <c r="K96" s="14" t="inlineStr"/>
      <c r="L96" s="15" t="inlineStr"/>
    </row>
    <row r="97">
      <c r="A97" s="11" t="inlineStr">
        <is>
          <t>A2-07</t>
        </is>
      </c>
      <c r="B97" s="12" t="inlineStr">
        <is>
          <t>Automodération</t>
        </is>
      </c>
      <c r="C97" s="12" t="inlineStr">
        <is>
          <t>Rôles dispensés</t>
        </is>
      </c>
      <c r="D97" s="16" t="inlineStr">
        <is>
          <t>Mineure</t>
        </is>
      </c>
      <c r="E97" s="12" t="inlineStr">
        <is>
          <t>Un rôle renseigné dans les exemptions</t>
        </is>
      </c>
      <c r="F97" s="12" t="inlineStr">
        <is>
          <t>Déclencher la règle avec un membre portant ce rôle.</t>
        </is>
      </c>
      <c r="G97" s="12" t="inlineStr">
        <is>
          <t>Aucun incident, aucune sanction.</t>
        </is>
      </c>
      <c r="H97" s="12" t="inlineStr">
        <is>
          <t>Dashboard &gt; Automodération</t>
        </is>
      </c>
      <c r="I97" s="14" t="inlineStr">
        <is>
          <t>À tester</t>
        </is>
      </c>
      <c r="J97" s="15" t="inlineStr"/>
      <c r="K97" s="14" t="inlineStr"/>
      <c r="L97" s="15" t="inlineStr"/>
    </row>
    <row r="98">
      <c r="A98" s="11" t="inlineStr">
        <is>
          <t>A2-08</t>
        </is>
      </c>
      <c r="B98" s="12" t="inlineStr">
        <is>
          <t>Automodération</t>
        </is>
      </c>
      <c r="C98" s="12" t="inlineStr">
        <is>
          <t>Prise en compte d'un changement</t>
        </is>
      </c>
      <c r="D98" s="16" t="inlineStr">
        <is>
          <t>Mineure</t>
        </is>
      </c>
      <c r="E98" s="12" t="inlineStr">
        <is>
          <t>Une règle activée</t>
        </is>
      </c>
      <c r="F98" s="12" t="inlineStr">
        <is>
          <t>Désactiver la règle puis déclencher la condition dans les 30 secondes et après.</t>
        </is>
      </c>
      <c r="G98" s="12" t="inlineStr">
        <is>
          <t>Au-delà du cache de 30 secondes, la règle ne se déclenche plus.</t>
        </is>
      </c>
      <c r="H98" s="12" t="inlineStr">
        <is>
          <t>Discord</t>
        </is>
      </c>
      <c r="I98" s="14" t="inlineStr">
        <is>
          <t>À tester</t>
        </is>
      </c>
      <c r="J98" s="15" t="inlineStr"/>
      <c r="K98" s="14" t="inlineStr"/>
      <c r="L98" s="15" t="inlineStr"/>
    </row>
    <row r="99">
      <c r="A99" s="11" t="inlineStr">
        <is>
          <t>ANT-01</t>
        </is>
      </c>
      <c r="B99" s="12" t="inlineStr">
        <is>
          <t>Anti-raid</t>
        </is>
      </c>
      <c r="C99" s="12" t="inlineStr">
        <is>
          <t>Déclenchement automatique</t>
        </is>
      </c>
      <c r="D99" s="13" t="inlineStr">
        <is>
          <t>Critique</t>
        </is>
      </c>
      <c r="E99" s="12" t="inlineStr">
        <is>
          <t>Seuil d'arrivées configuré</t>
        </is>
      </c>
      <c r="F99" s="12" t="inlineStr">
        <is>
          <t>Faire rejoindre plus de comptes que le seuil dans la fenêtre.</t>
        </is>
      </c>
      <c r="G99" s="12" t="inlineStr">
        <is>
          <t>Incident créé, confinement appliqué immédiatement, alerte au rôle configuré.</t>
        </is>
      </c>
      <c r="H99" s="12" t="inlineStr">
        <is>
          <t>Discord + Dashboard &gt; Anti-raid</t>
        </is>
      </c>
      <c r="I99" s="14" t="inlineStr">
        <is>
          <t>À tester</t>
        </is>
      </c>
      <c r="J99" s="15" t="inlineStr"/>
      <c r="K99" s="14" t="inlineStr"/>
      <c r="L99" s="15" t="inlineStr"/>
    </row>
    <row r="100">
      <c r="A100" s="11" t="inlineStr">
        <is>
          <t>ANT-02</t>
        </is>
      </c>
      <c r="B100" s="12" t="inlineStr">
        <is>
          <t>Anti-raid</t>
        </is>
      </c>
      <c r="C100" s="12" t="inlineStr">
        <is>
          <t>Salons confinés</t>
        </is>
      </c>
      <c r="D100" s="16" t="inlineStr">
        <is>
          <t>Majeure</t>
        </is>
      </c>
      <c r="E100" s="12" t="inlineStr">
        <is>
          <t>Un salon déjà restreint avant l'incident</t>
        </is>
      </c>
      <c r="F100" s="12" t="inlineStr">
        <is>
          <t>Déclencher un confinement puis le lever.</t>
        </is>
      </c>
      <c r="G100" s="12" t="inlineStr">
        <is>
          <t>Seuls les salons ouverts au moment du déclenchement sont verrouillés, puis rouverts à l'identique.</t>
        </is>
      </c>
      <c r="H100" s="12" t="inlineStr">
        <is>
          <t>Discord</t>
        </is>
      </c>
      <c r="I100" s="14" t="inlineStr">
        <is>
          <t>À tester</t>
        </is>
      </c>
      <c r="J100" s="15" t="inlineStr"/>
      <c r="K100" s="14" t="inlineStr"/>
      <c r="L100" s="15" t="inlineStr"/>
    </row>
    <row r="101">
      <c r="A101" s="11" t="inlineStr">
        <is>
          <t>ANT-03</t>
        </is>
      </c>
      <c r="B101" s="12" t="inlineStr">
        <is>
          <t>Anti-raid</t>
        </is>
      </c>
      <c r="C101" s="12" t="inlineStr">
        <is>
          <t>Confinement depuis la webapp</t>
        </is>
      </c>
      <c r="D101" s="16" t="inlineStr">
        <is>
          <t>Majeure</t>
        </is>
      </c>
      <c r="E101" s="12" t="inlineStr">
        <is>
          <t>Permission raid:respond</t>
        </is>
      </c>
      <c r="F101" s="12" t="inlineStr">
        <is>
          <t>Déclencher un confinement depuis le dashboard.</t>
        </is>
      </c>
      <c r="G101" s="12" t="inlineStr">
        <is>
          <t>L'effet est appliqué sur Discord dans les cinq secondes.</t>
        </is>
      </c>
      <c r="H101" s="12" t="inlineStr">
        <is>
          <t>Discord</t>
        </is>
      </c>
      <c r="I101" s="14" t="inlineStr">
        <is>
          <t>À tester</t>
        </is>
      </c>
      <c r="J101" s="15" t="inlineStr"/>
      <c r="K101" s="14" t="inlineStr"/>
      <c r="L101" s="15" t="inlineStr"/>
    </row>
    <row r="102">
      <c r="A102" s="11" t="inlineStr">
        <is>
          <t>ANT-04</t>
        </is>
      </c>
      <c r="B102" s="12" t="inlineStr">
        <is>
          <t>Anti-raid</t>
        </is>
      </c>
      <c r="C102" s="12" t="inlineStr">
        <is>
          <t>Résolution d'un incident</t>
        </is>
      </c>
      <c r="D102" s="16" t="inlineStr">
        <is>
          <t>Majeure</t>
        </is>
      </c>
      <c r="E102" s="12" t="inlineStr">
        <is>
          <t>Un incident ouvert</t>
        </is>
      </c>
      <c r="F102" s="12" t="inlineStr">
        <is>
          <t>Résoudre l'incident depuis le dashboard.</t>
        </is>
      </c>
      <c r="G102" s="12" t="inlineStr">
        <is>
          <t>Les salons sont rouverts et l'incident passe à résolu.</t>
        </is>
      </c>
      <c r="H102" s="12" t="inlineStr">
        <is>
          <t>Discord + Dashboard</t>
        </is>
      </c>
      <c r="I102" s="14" t="inlineStr">
        <is>
          <t>À tester</t>
        </is>
      </c>
      <c r="J102" s="15" t="inlineStr"/>
      <c r="K102" s="14" t="inlineStr"/>
      <c r="L102" s="15" t="inlineStr"/>
    </row>
    <row r="103">
      <c r="A103" s="11" t="inlineStr">
        <is>
          <t>QUA-01</t>
        </is>
      </c>
      <c r="B103" s="12" t="inlineStr">
        <is>
          <t>Quarantaine</t>
        </is>
      </c>
      <c r="C103" s="12" t="inlineStr">
        <is>
          <t>Mise en quarantaine à l'arrivée</t>
        </is>
      </c>
      <c r="D103" s="13" t="inlineStr">
        <is>
          <t>Critique</t>
        </is>
      </c>
      <c r="E103" s="12" t="inlineStr">
        <is>
          <t>Quarantaine activée, rôle configuré</t>
        </is>
      </c>
      <c r="F103" s="12" t="inlineStr">
        <is>
          <t>Faire rejoindre un compte de test.</t>
        </is>
      </c>
      <c r="G103" s="12" t="inlineStr">
        <is>
          <t>Le rôle de quarantaine est posé et l'arrivant ne voit que le salon de règlement.</t>
        </is>
      </c>
      <c r="H103" s="12" t="inlineStr">
        <is>
          <t>Discord</t>
        </is>
      </c>
      <c r="I103" s="14" t="inlineStr">
        <is>
          <t>À tester</t>
        </is>
      </c>
      <c r="J103" s="15" t="inlineStr"/>
      <c r="K103" s="14" t="inlineStr"/>
      <c r="L103" s="15" t="inlineStr"/>
    </row>
    <row r="104">
      <c r="A104" s="11" t="inlineStr">
        <is>
          <t>QUA-02</t>
        </is>
      </c>
      <c r="B104" s="12" t="inlineStr">
        <is>
          <t>Quarantaine</t>
        </is>
      </c>
      <c r="C104" s="12" t="inlineStr">
        <is>
          <t>Message de règlement</t>
        </is>
      </c>
      <c r="D104" s="13" t="inlineStr">
        <is>
          <t>Critique</t>
        </is>
      </c>
      <c r="E104" s="12" t="inlineStr">
        <is>
          <t>Texte configuré</t>
        </is>
      </c>
      <c r="F104" s="12" t="inlineStr">
        <is>
          <t>`/quarantaine-message` dans le salon prévu.</t>
        </is>
      </c>
      <c r="G104" s="12" t="inlineStr">
        <is>
          <t>Le message est publié avec son bouton. Il remplace le précédent.</t>
        </is>
      </c>
      <c r="H104" s="12" t="inlineStr">
        <is>
          <t>Discord</t>
        </is>
      </c>
      <c r="I104" s="14" t="inlineStr">
        <is>
          <t>À tester</t>
        </is>
      </c>
      <c r="J104" s="15" t="inlineStr"/>
      <c r="K104" s="14" t="inlineStr"/>
      <c r="L104" s="15" t="inlineStr"/>
    </row>
    <row r="105">
      <c r="A105" s="11" t="inlineStr">
        <is>
          <t>QUA-03</t>
        </is>
      </c>
      <c r="B105" s="12" t="inlineStr">
        <is>
          <t>Quarantaine</t>
        </is>
      </c>
      <c r="C105" s="12" t="inlineStr">
        <is>
          <t>Acceptation du règlement</t>
        </is>
      </c>
      <c r="D105" s="13" t="inlineStr">
        <is>
          <t>Critique</t>
        </is>
      </c>
      <c r="E105" s="12" t="inlineStr">
        <is>
          <t>Un membre en quarantaine, Battle.net non exigé</t>
        </is>
      </c>
      <c r="F105" s="12" t="inlineStr">
        <is>
          <t>Cliquer le bouton d'acceptation.</t>
        </is>
      </c>
      <c r="G105" s="12" t="inlineStr">
        <is>
          <t>Le rôle de quarantaine est retiré et les rôles de levée sont appliqués.</t>
        </is>
      </c>
      <c r="H105" s="12" t="inlineStr">
        <is>
          <t>Discord</t>
        </is>
      </c>
      <c r="I105" s="14" t="inlineStr">
        <is>
          <t>À tester</t>
        </is>
      </c>
      <c r="J105" s="15" t="inlineStr"/>
      <c r="K105" s="14" t="inlineStr"/>
      <c r="L105" s="15" t="inlineStr"/>
    </row>
    <row r="106">
      <c r="A106" s="11" t="inlineStr">
        <is>
          <t>QUA-04</t>
        </is>
      </c>
      <c r="B106" s="12" t="inlineStr">
        <is>
          <t>Quarantaine</t>
        </is>
      </c>
      <c r="C106" s="12" t="inlineStr">
        <is>
          <t>Vérification Battle.net</t>
        </is>
      </c>
      <c r="D106" s="16" t="inlineStr">
        <is>
          <t>Majeure</t>
        </is>
      </c>
      <c r="E106" s="12" t="inlineStr">
        <is>
          <t>battlenetRequired à true, variables d'environnement posées</t>
        </is>
      </c>
      <c r="F106" s="12" t="inlineStr">
        <is>
          <t>Cliquer le bouton de vérification et aller au bout du parcours Blizzard.</t>
        </is>
      </c>
      <c r="G106" s="12" t="inlineStr">
        <is>
          <t>Le compte est lié, l'étape franchie, et le staff reçoit une trace sans le BattleTag.</t>
        </is>
      </c>
      <c r="H106" s="12" t="inlineStr">
        <is>
          <t>Dashboard &gt; Quarantaine</t>
        </is>
      </c>
      <c r="I106" s="14" t="inlineStr">
        <is>
          <t>À tester</t>
        </is>
      </c>
      <c r="J106" s="15" t="inlineStr"/>
      <c r="K106" s="14" t="inlineStr"/>
      <c r="L106" s="15" t="inlineStr"/>
    </row>
    <row r="107">
      <c r="A107" s="11" t="inlineStr">
        <is>
          <t>QUA-05</t>
        </is>
      </c>
      <c r="B107" s="12" t="inlineStr">
        <is>
          <t>Quarantaine</t>
        </is>
      </c>
      <c r="C107" s="12" t="inlineStr">
        <is>
          <t>Compte Blizzard déjà lié</t>
        </is>
      </c>
      <c r="D107" s="16" t="inlineStr">
        <is>
          <t>Majeure</t>
        </is>
      </c>
      <c r="E107" s="12" t="inlineStr">
        <is>
          <t>Un compte Blizzard déjà rattaché à un autre membre</t>
        </is>
      </c>
      <c r="F107" s="12" t="inlineStr">
        <is>
          <t>Tenter la vérification avec ce même compte Blizzard.</t>
        </is>
      </c>
      <c r="G107" s="12" t="inlineStr">
        <is>
          <t>Refus, et un signalement BATTLENET_DUPLICATE remonte au staff.</t>
        </is>
      </c>
      <c r="H107" s="12" t="inlineStr">
        <is>
          <t>Dashboard &gt; Comptes signalés</t>
        </is>
      </c>
      <c r="I107" s="14" t="inlineStr">
        <is>
          <t>À tester</t>
        </is>
      </c>
      <c r="J107" s="15" t="inlineStr"/>
      <c r="K107" s="14" t="inlineStr"/>
      <c r="L107" s="15" t="inlineStr"/>
    </row>
    <row r="108">
      <c r="A108" s="11" t="inlineStr">
        <is>
          <t>QUA-06</t>
        </is>
      </c>
      <c r="B108" s="12" t="inlineStr">
        <is>
          <t>Quarantaine</t>
        </is>
      </c>
      <c r="C108" s="12" t="inlineStr">
        <is>
          <t>Lien de vérification rejoué</t>
        </is>
      </c>
      <c r="D108" s="16" t="inlineStr">
        <is>
          <t>Mineure</t>
        </is>
      </c>
      <c r="E108" s="12" t="inlineStr">
        <is>
          <t>Un lien de vérification déjà utilisé</t>
        </is>
      </c>
      <c r="F108" s="12" t="inlineStr">
        <is>
          <t>Rouvrir le même lien.</t>
        </is>
      </c>
      <c r="G108" s="12" t="inlineStr">
        <is>
          <t>Le lien ne fonctionne plus : il est consommé une seule fois.</t>
        </is>
      </c>
      <c r="H108" s="12" t="inlineStr">
        <is>
          <t>Navigateur</t>
        </is>
      </c>
      <c r="I108" s="14" t="inlineStr">
        <is>
          <t>À tester</t>
        </is>
      </c>
      <c r="J108" s="15" t="inlineStr"/>
      <c r="K108" s="14" t="inlineStr"/>
      <c r="L108" s="15" t="inlineStr"/>
    </row>
    <row r="109">
      <c r="A109" s="11" t="inlineStr">
        <is>
          <t>QUA-07</t>
        </is>
      </c>
      <c r="B109" s="12" t="inlineStr">
        <is>
          <t>Quarantaine</t>
        </is>
      </c>
      <c r="C109" s="12" t="inlineStr">
        <is>
          <t>Levée manuelle</t>
        </is>
      </c>
      <c r="D109" s="16" t="inlineStr">
        <is>
          <t>Majeure</t>
        </is>
      </c>
      <c r="E109" s="12" t="inlineStr">
        <is>
          <t>Un membre bloqué à une étape</t>
        </is>
      </c>
      <c r="F109" s="12" t="inlineStr">
        <is>
          <t>Dashboard &gt; Quarantaine &gt; Débloquer.</t>
        </is>
      </c>
      <c r="G109" s="12" t="inlineStr">
        <is>
          <t>Le membre est libéré quelles que soient les étapes restantes, et les rôles de levée s'appliquent.</t>
        </is>
      </c>
      <c r="H109" s="12" t="inlineStr">
        <is>
          <t>Discord</t>
        </is>
      </c>
      <c r="I109" s="14" t="inlineStr">
        <is>
          <t>À tester</t>
        </is>
      </c>
      <c r="J109" s="15" t="inlineStr"/>
      <c r="K109" s="14" t="inlineStr"/>
      <c r="L109" s="15" t="inlineStr"/>
    </row>
    <row r="110">
      <c r="A110" s="11" t="inlineStr">
        <is>
          <t>QUA-08</t>
        </is>
      </c>
      <c r="B110" s="12" t="inlineStr">
        <is>
          <t>Quarantaine</t>
        </is>
      </c>
      <c r="C110" s="12" t="inlineStr">
        <is>
          <t>Rôles de levée</t>
        </is>
      </c>
      <c r="D110" s="16" t="inlineStr">
        <is>
          <t>Majeure</t>
        </is>
      </c>
      <c r="E110" s="12" t="inlineStr">
        <is>
          <t>Des rôles à ajouter et à retirer configurés</t>
        </is>
      </c>
      <c r="F110" s="12" t="inlineStr">
        <is>
          <t>Libérer un membre par chacun des deux chemins.</t>
        </is>
      </c>
      <c r="G110" s="12" t="inlineStr">
        <is>
          <t>Les mêmes rôles sont appliqués dans les deux cas, en un seul mouvement.</t>
        </is>
      </c>
      <c r="H110" s="12" t="inlineStr">
        <is>
          <t>Discord</t>
        </is>
      </c>
      <c r="I110" s="14" t="inlineStr">
        <is>
          <t>À tester</t>
        </is>
      </c>
      <c r="J110" s="15" t="inlineStr"/>
      <c r="K110" s="14" t="inlineStr"/>
      <c r="L110" s="15" t="inlineStr"/>
    </row>
    <row r="111">
      <c r="A111" s="11" t="inlineStr">
        <is>
          <t>CSO-01</t>
        </is>
      </c>
      <c r="B111" s="12" t="inlineStr">
        <is>
          <t>Comptes signalés</t>
        </is>
      </c>
      <c r="C111" s="12" t="inlineStr">
        <is>
          <t>Signal à l'arrivée</t>
        </is>
      </c>
      <c r="D111" s="16" t="inlineStr">
        <is>
          <t>Majeure</t>
        </is>
      </c>
      <c r="E111" s="12" t="inlineStr">
        <is>
          <t>Surveillance activée</t>
        </is>
      </c>
      <c r="F111" s="12" t="inlineStr">
        <is>
          <t>Faire rejoindre un compte très récent.</t>
        </is>
      </c>
      <c r="G111" s="12" t="inlineStr">
        <is>
          <t>Un signalement est créé et une alerte consolidée est envoyée au staff. Aucune sanction automatique.</t>
        </is>
      </c>
      <c r="H111" s="12" t="inlineStr">
        <is>
          <t>Dashboard &gt; Comptes signalés</t>
        </is>
      </c>
      <c r="I111" s="14" t="inlineStr">
        <is>
          <t>À tester</t>
        </is>
      </c>
      <c r="J111" s="15" t="inlineStr"/>
      <c r="K111" s="14" t="inlineStr"/>
      <c r="L111" s="15" t="inlineStr"/>
    </row>
    <row r="112">
      <c r="A112" s="11" t="inlineStr">
        <is>
          <t>CSO-02</t>
        </is>
      </c>
      <c r="B112" s="12" t="inlineStr">
        <is>
          <t>Comptes signalés</t>
        </is>
      </c>
      <c r="C112" s="12" t="inlineStr">
        <is>
          <t>Retour rapide</t>
        </is>
      </c>
      <c r="D112" s="16" t="inlineStr">
        <is>
          <t>Mineure</t>
        </is>
      </c>
      <c r="E112" s="12" t="inlineStr">
        <is>
          <t>Un membre parti récemment</t>
        </is>
      </c>
      <c r="F112" s="12" t="inlineStr">
        <is>
          <t>Le faire revenir dans la foulée.</t>
        </is>
      </c>
      <c r="G112" s="12" t="inlineStr">
        <is>
          <t>Le signal de retour rapide se déclenche.</t>
        </is>
      </c>
      <c r="H112" s="12" t="inlineStr">
        <is>
          <t>Dashboard &gt; Comptes signalés</t>
        </is>
      </c>
      <c r="I112" s="14" t="inlineStr">
        <is>
          <t>À tester</t>
        </is>
      </c>
      <c r="J112" s="15" t="inlineStr"/>
      <c r="K112" s="14" t="inlineStr"/>
      <c r="L112" s="15" t="inlineStr"/>
    </row>
    <row r="113">
      <c r="A113" s="11" t="inlineStr">
        <is>
          <t>CSO-03</t>
        </is>
      </c>
      <c r="B113" s="12" t="inlineStr">
        <is>
          <t>Comptes signalés</t>
        </is>
      </c>
      <c r="C113" s="12" t="inlineStr">
        <is>
          <t>Traitement d'un signalement</t>
        </is>
      </c>
      <c r="D113" s="16" t="inlineStr">
        <is>
          <t>Mineure</t>
        </is>
      </c>
      <c r="E113" s="12" t="inlineStr">
        <is>
          <t>Un signalement ouvert</t>
        </is>
      </c>
      <c r="F113" s="12" t="inlineStr">
        <is>
          <t>Le marquer comme traité.</t>
        </is>
      </c>
      <c r="G113" s="12" t="inlineStr">
        <is>
          <t>Il disparaît de la liste des signalements en attente.</t>
        </is>
      </c>
      <c r="H113" s="12" t="inlineStr">
        <is>
          <t>Dashboard &gt; Comptes signalés</t>
        </is>
      </c>
      <c r="I113" s="14" t="inlineStr">
        <is>
          <t>À tester</t>
        </is>
      </c>
      <c r="J113" s="15" t="inlineStr"/>
      <c r="K113" s="14" t="inlineStr"/>
      <c r="L113" s="15" t="inlineStr"/>
    </row>
    <row r="114">
      <c r="A114" s="11" t="inlineStr">
        <is>
          <t>CON-01</t>
        </is>
      </c>
      <c r="B114" s="12" t="inlineStr">
        <is>
          <t>Concours</t>
        </is>
      </c>
      <c r="C114" s="12" t="inlineStr">
        <is>
          <t>Créer depuis Discord</t>
        </is>
      </c>
      <c r="D114" s="16" t="inlineStr">
        <is>
          <t>Majeure</t>
        </is>
      </c>
      <c r="E114" s="12" t="inlineStr">
        <is>
          <t>Permission de gestion</t>
        </is>
      </c>
      <c r="F114" s="12" t="inlineStr">
        <is>
          <t>`/giveaway` avec titre, lot et durée.</t>
        </is>
      </c>
      <c r="G114" s="12" t="inlineStr">
        <is>
          <t>L'embed est publié et la réaction de participation est posée.</t>
        </is>
      </c>
      <c r="H114" s="12" t="inlineStr">
        <is>
          <t>Discord</t>
        </is>
      </c>
      <c r="I114" s="14" t="inlineStr">
        <is>
          <t>À tester</t>
        </is>
      </c>
      <c r="J114" s="15" t="inlineStr"/>
      <c r="K114" s="14" t="inlineStr"/>
      <c r="L114" s="15" t="inlineStr"/>
    </row>
    <row r="115">
      <c r="A115" s="11" t="inlineStr">
        <is>
          <t>CON-02</t>
        </is>
      </c>
      <c r="B115" s="12" t="inlineStr">
        <is>
          <t>Concours</t>
        </is>
      </c>
      <c r="C115" s="12" t="inlineStr">
        <is>
          <t>Participation</t>
        </is>
      </c>
      <c r="D115" s="16" t="inlineStr">
        <is>
          <t>Majeure</t>
        </is>
      </c>
      <c r="E115" s="12" t="inlineStr">
        <is>
          <t>Un concours en cours</t>
        </is>
      </c>
      <c r="F115" s="12" t="inlineStr">
        <is>
          <t>Réagir avec l'emoji de participation depuis plusieurs comptes.</t>
        </is>
      </c>
      <c r="G115" s="12" t="inlineStr">
        <is>
          <t>Les participations apparaissent dans le dashboard.</t>
        </is>
      </c>
      <c r="H115" s="12" t="inlineStr">
        <is>
          <t>Dashboard &gt; Concours</t>
        </is>
      </c>
      <c r="I115" s="14" t="inlineStr">
        <is>
          <t>À tester</t>
        </is>
      </c>
      <c r="J115" s="15" t="inlineStr"/>
      <c r="K115" s="14" t="inlineStr"/>
      <c r="L115" s="15" t="inlineStr"/>
    </row>
    <row r="116">
      <c r="A116" s="11" t="inlineStr">
        <is>
          <t>CON-03</t>
        </is>
      </c>
      <c r="B116" s="12" t="inlineStr">
        <is>
          <t>Concours</t>
        </is>
      </c>
      <c r="C116" s="12" t="inlineStr">
        <is>
          <t>Participation bot éteint</t>
        </is>
      </c>
      <c r="D116" s="16" t="inlineStr">
        <is>
          <t>Majeure</t>
        </is>
      </c>
      <c r="E116" s="12" t="inlineStr">
        <is>
          <t>Un concours en cours</t>
        </is>
      </c>
      <c r="F116" s="12" t="inlineStr">
        <is>
          <t>Arrêter le bot, faire réagir un compte, redémarrer, attendre le tirage.</t>
        </is>
      </c>
      <c r="G116" s="12" t="inlineStr">
        <is>
          <t>La participation est rattrapée par la relecture complète au moment du tirage.</t>
        </is>
      </c>
      <c r="H116" s="12" t="inlineStr">
        <is>
          <t>Dashboard &gt; Concours</t>
        </is>
      </c>
      <c r="I116" s="14" t="inlineStr">
        <is>
          <t>À tester</t>
        </is>
      </c>
      <c r="J116" s="15" t="inlineStr"/>
      <c r="K116" s="14" t="inlineStr"/>
      <c r="L116" s="15" t="inlineStr"/>
    </row>
    <row r="117">
      <c r="A117" s="11" t="inlineStr">
        <is>
          <t>CON-04</t>
        </is>
      </c>
      <c r="B117" s="12" t="inlineStr">
        <is>
          <t>Concours</t>
        </is>
      </c>
      <c r="C117" s="12" t="inlineStr">
        <is>
          <t>Tirage</t>
        </is>
      </c>
      <c r="D117" s="13" t="inlineStr">
        <is>
          <t>Critique</t>
        </is>
      </c>
      <c r="E117" s="12" t="inlineStr">
        <is>
          <t>Un concours arrivé à échéance</t>
        </is>
      </c>
      <c r="F117" s="12" t="inlineStr">
        <is>
          <t>Attendre la fin du concours.</t>
        </is>
      </c>
      <c r="G117" s="12" t="inlineStr">
        <is>
          <t>Le ou les gagnants sont annoncés dans le salon prévu et mentionnés.</t>
        </is>
      </c>
      <c r="H117" s="12" t="inlineStr">
        <is>
          <t>Discord</t>
        </is>
      </c>
      <c r="I117" s="14" t="inlineStr">
        <is>
          <t>À tester</t>
        </is>
      </c>
      <c r="J117" s="15" t="inlineStr"/>
      <c r="K117" s="14" t="inlineStr"/>
      <c r="L117" s="15" t="inlineStr"/>
    </row>
    <row r="118">
      <c r="A118" s="11" t="inlineStr">
        <is>
          <t>CON-05</t>
        </is>
      </c>
      <c r="B118" s="12" t="inlineStr">
        <is>
          <t>Concours</t>
        </is>
      </c>
      <c r="C118" s="12" t="inlineStr">
        <is>
          <t>Nouveau tirage</t>
        </is>
      </c>
      <c r="D118" s="16" t="inlineStr">
        <is>
          <t>Mineure</t>
        </is>
      </c>
      <c r="E118" s="12" t="inlineStr">
        <is>
          <t>Un concours terminé</t>
        </is>
      </c>
      <c r="F118" s="12" t="inlineStr">
        <is>
          <t>Demander un nouveau tirage depuis le dashboard.</t>
        </is>
      </c>
      <c r="G118" s="12" t="inlineStr">
        <is>
          <t>Un nouveau gagnant est tiré et annoncé dans les cinq secondes.</t>
        </is>
      </c>
      <c r="H118" s="12" t="inlineStr">
        <is>
          <t>Discord</t>
        </is>
      </c>
      <c r="I118" s="14" t="inlineStr">
        <is>
          <t>À tester</t>
        </is>
      </c>
      <c r="J118" s="15" t="inlineStr"/>
      <c r="K118" s="14" t="inlineStr"/>
      <c r="L118" s="15" t="inlineStr"/>
    </row>
    <row r="119">
      <c r="A119" s="11" t="inlineStr">
        <is>
          <t>CON-06</t>
        </is>
      </c>
      <c r="B119" s="12" t="inlineStr">
        <is>
          <t>Concours</t>
        </is>
      </c>
      <c r="C119" s="12" t="inlineStr">
        <is>
          <t>Annulation</t>
        </is>
      </c>
      <c r="D119" s="16" t="inlineStr">
        <is>
          <t>Mineure</t>
        </is>
      </c>
      <c r="E119" s="12" t="inlineStr">
        <is>
          <t>Un concours en cours</t>
        </is>
      </c>
      <c r="F119" s="12" t="inlineStr">
        <is>
          <t>Annuler depuis le dashboard.</t>
        </is>
      </c>
      <c r="G119" s="12" t="inlineStr">
        <is>
          <t>Le message est barré sur Discord et aucun tirage n'a lieu.</t>
        </is>
      </c>
      <c r="H119" s="12" t="inlineStr">
        <is>
          <t>Discord</t>
        </is>
      </c>
      <c r="I119" s="14" t="inlineStr">
        <is>
          <t>À tester</t>
        </is>
      </c>
      <c r="J119" s="15" t="inlineStr"/>
      <c r="K119" s="14" t="inlineStr"/>
      <c r="L119" s="15" t="inlineStr"/>
    </row>
    <row r="120">
      <c r="A120" s="11" t="inlineStr">
        <is>
          <t>MCE-01</t>
        </is>
      </c>
      <c r="B120" s="12" t="inlineStr">
        <is>
          <t>Messages composés</t>
        </is>
      </c>
      <c r="C120" s="12" t="inlineStr">
        <is>
          <t>Publier un message</t>
        </is>
      </c>
      <c r="D120" s="16" t="inlineStr">
        <is>
          <t>Majeure</t>
        </is>
      </c>
      <c r="E120" s="12" t="inlineStr">
        <is>
          <t>Permission embeds:write</t>
        </is>
      </c>
      <c r="F120" s="12" t="inlineStr">
        <is>
          <t>Composer un embed et le mettre en file pour un salon.</t>
        </is>
      </c>
      <c r="G120" s="12" t="inlineStr">
        <is>
          <t>Le message est publié dans les cinq secondes et son aperçu correspond au rendu Discord.</t>
        </is>
      </c>
      <c r="H120" s="12" t="inlineStr">
        <is>
          <t>Discord</t>
        </is>
      </c>
      <c r="I120" s="14" t="inlineStr">
        <is>
          <t>À tester</t>
        </is>
      </c>
      <c r="J120" s="15" t="inlineStr"/>
      <c r="K120" s="14" t="inlineStr"/>
      <c r="L120" s="15" t="inlineStr"/>
    </row>
    <row r="121">
      <c r="A121" s="11" t="inlineStr">
        <is>
          <t>MCE-02</t>
        </is>
      </c>
      <c r="B121" s="12" t="inlineStr">
        <is>
          <t>Messages composés</t>
        </is>
      </c>
      <c r="C121" s="12" t="inlineStr">
        <is>
          <t>Corriger un message publié</t>
        </is>
      </c>
      <c r="D121" s="16" t="inlineStr">
        <is>
          <t>Majeure</t>
        </is>
      </c>
      <c r="E121" s="12" t="inlineStr">
        <is>
          <t>Un message déjà publié</t>
        </is>
      </c>
      <c r="F121" s="12" t="inlineStr">
        <is>
          <t>Modifier le texte et remettre en file.</t>
        </is>
      </c>
      <c r="G121" s="12" t="inlineStr">
        <is>
          <t>Le message existant est corrigé, pas republié.</t>
        </is>
      </c>
      <c r="H121" s="12" t="inlineStr">
        <is>
          <t>Discord</t>
        </is>
      </c>
      <c r="I121" s="14" t="inlineStr">
        <is>
          <t>À tester</t>
        </is>
      </c>
      <c r="J121" s="15" t="inlineStr"/>
      <c r="K121" s="14" t="inlineStr"/>
      <c r="L121" s="15" t="inlineStr"/>
    </row>
    <row r="122">
      <c r="A122" s="11" t="inlineStr">
        <is>
          <t>MCE-03</t>
        </is>
      </c>
      <c r="B122" s="12" t="inlineStr">
        <is>
          <t>Messages composés</t>
        </is>
      </c>
      <c r="C122" s="12" t="inlineStr">
        <is>
          <t>Message supprimé à la main</t>
        </is>
      </c>
      <c r="D122" s="16" t="inlineStr">
        <is>
          <t>Mineure</t>
        </is>
      </c>
      <c r="E122" s="12" t="inlineStr">
        <is>
          <t>Un message publié</t>
        </is>
      </c>
      <c r="F122" s="12" t="inlineStr">
        <is>
          <t>Le supprimer dans Discord puis remettre la ligne en file.</t>
        </is>
      </c>
      <c r="G122" s="12" t="inlineStr">
        <is>
          <t>Le message est republié, Discord ne le retrouvant plus.</t>
        </is>
      </c>
      <c r="H122" s="12" t="inlineStr">
        <is>
          <t>Discord</t>
        </is>
      </c>
      <c r="I122" s="14" t="inlineStr">
        <is>
          <t>À tester</t>
        </is>
      </c>
      <c r="J122" s="15" t="inlineStr"/>
      <c r="K122" s="14" t="inlineStr"/>
      <c r="L122" s="15" t="inlineStr"/>
    </row>
    <row r="123">
      <c r="A123" s="11" t="inlineStr">
        <is>
          <t>MCE-04</t>
        </is>
      </c>
      <c r="B123" s="12" t="inlineStr">
        <is>
          <t>Messages composés</t>
        </is>
      </c>
      <c r="C123" s="12" t="inlineStr">
        <is>
          <t>Limite de 6000 caractères</t>
        </is>
      </c>
      <c r="D123" s="16" t="inlineStr">
        <is>
          <t>Mineure</t>
        </is>
      </c>
      <c r="E123" s="12" t="inlineStr">
        <is>
          <t>Permission embeds:write</t>
        </is>
      </c>
      <c r="F123" s="12" t="inlineStr">
        <is>
          <t>Composer un embed dont la somme des champs dépasse 6000 caractères.</t>
        </is>
      </c>
      <c r="G123" s="12" t="inlineStr">
        <is>
          <t>Le décompte le signale et l'envoi est refusé.</t>
        </is>
      </c>
      <c r="H123" s="12" t="inlineStr">
        <is>
          <t>Dashboard &gt; Messages</t>
        </is>
      </c>
      <c r="I123" s="14" t="inlineStr">
        <is>
          <t>À tester</t>
        </is>
      </c>
      <c r="J123" s="15" t="inlineStr"/>
      <c r="K123" s="14" t="inlineStr"/>
      <c r="L123" s="15" t="inlineStr"/>
    </row>
    <row r="124">
      <c r="A124" s="11" t="inlineStr">
        <is>
          <t>MCE-05</t>
        </is>
      </c>
      <c r="B124" s="12" t="inlineStr">
        <is>
          <t>Messages composés</t>
        </is>
      </c>
      <c r="C124" s="12" t="inlineStr">
        <is>
          <t>Suppression côté dashboard</t>
        </is>
      </c>
      <c r="D124" s="16" t="inlineStr">
        <is>
          <t>Mineure</t>
        </is>
      </c>
      <c r="E124" s="12" t="inlineStr">
        <is>
          <t>Un message publié</t>
        </is>
      </c>
      <c r="F124" s="12" t="inlineStr">
        <is>
          <t>Supprimer la ligne depuis le dashboard.</t>
        </is>
      </c>
      <c r="G124" s="12" t="inlineStr">
        <is>
          <t>La ligne disparaît mais le message reste sur Discord : le comportement est annoncé.</t>
        </is>
      </c>
      <c r="H124" s="12" t="inlineStr">
        <is>
          <t>Discord</t>
        </is>
      </c>
      <c r="I124" s="14" t="inlineStr">
        <is>
          <t>À tester</t>
        </is>
      </c>
      <c r="J124" s="15" t="inlineStr"/>
      <c r="K124" s="14" t="inlineStr"/>
      <c r="L124" s="15" t="inlineStr"/>
    </row>
    <row r="125">
      <c r="A125" s="11" t="inlineStr">
        <is>
          <t>WIK-01</t>
        </is>
      </c>
      <c r="B125" s="12" t="inlineStr">
        <is>
          <t>Wiki</t>
        </is>
      </c>
      <c r="C125" s="12" t="inlineStr">
        <is>
          <t>Créer un article</t>
        </is>
      </c>
      <c r="D125" s="16" t="inlineStr">
        <is>
          <t>Mineure</t>
        </is>
      </c>
      <c r="E125" s="12" t="inlineStr">
        <is>
          <t>Permission wiki:write</t>
        </is>
      </c>
      <c r="F125" s="12" t="inlineStr">
        <is>
          <t>Rédiger un article avec titres, gras, lien et liste.</t>
        </is>
      </c>
      <c r="G125" s="12" t="inlineStr">
        <is>
          <t>L'article s'affiche avec sa mise en forme. Le slug est figé après création.</t>
        </is>
      </c>
      <c r="H125" s="12" t="inlineStr">
        <is>
          <t>Dashboard &gt; Wiki</t>
        </is>
      </c>
      <c r="I125" s="14" t="inlineStr">
        <is>
          <t>À tester</t>
        </is>
      </c>
      <c r="J125" s="15" t="inlineStr"/>
      <c r="K125" s="14" t="inlineStr"/>
      <c r="L125" s="15" t="inlineStr"/>
    </row>
    <row r="126">
      <c r="A126" s="11" t="inlineStr">
        <is>
          <t>WIK-02</t>
        </is>
      </c>
      <c r="B126" s="12" t="inlineStr">
        <is>
          <t>Wiki</t>
        </is>
      </c>
      <c r="C126" s="12" t="inlineStr">
        <is>
          <t>Contenu nettoyé</t>
        </is>
      </c>
      <c r="D126" s="16" t="inlineStr">
        <is>
          <t>Majeure</t>
        </is>
      </c>
      <c r="E126" s="12" t="inlineStr">
        <is>
          <t>Permission wiki:write</t>
        </is>
      </c>
      <c r="F126" s="12" t="inlineStr">
        <is>
          <t>Coller du HTML contenant un script ou un attribut d'événement.</t>
        </is>
      </c>
      <c r="G126" s="12" t="inlineStr">
        <is>
          <t>Le contenu dangereux est retiré à l'enregistrement.</t>
        </is>
      </c>
      <c r="H126" s="12" t="inlineStr">
        <is>
          <t>Dashboard &gt; Wiki</t>
        </is>
      </c>
      <c r="I126" s="14" t="inlineStr">
        <is>
          <t>À tester</t>
        </is>
      </c>
      <c r="J126" s="15" t="inlineStr"/>
      <c r="K126" s="14" t="inlineStr"/>
      <c r="L126" s="15" t="inlineStr"/>
    </row>
    <row r="127">
      <c r="A127" s="11" t="inlineStr">
        <is>
          <t>WIK-03</t>
        </is>
      </c>
      <c r="B127" s="12" t="inlineStr">
        <is>
          <t>Wiki</t>
        </is>
      </c>
      <c r="C127" s="12" t="inlineStr">
        <is>
          <t>Recherche</t>
        </is>
      </c>
      <c r="D127" s="16" t="inlineStr">
        <is>
          <t>Mineure</t>
        </is>
      </c>
      <c r="E127" s="12" t="inlineStr">
        <is>
          <t>Plusieurs articles</t>
        </is>
      </c>
      <c r="F127" s="12" t="inlineStr">
        <is>
          <t>Rechercher un mot présent dans le corps d'un article.</t>
        </is>
      </c>
      <c r="G127" s="12" t="inlineStr">
        <is>
          <t>L'article remonte : la recherche porte sur le texte, pas sur le balisage.</t>
        </is>
      </c>
      <c r="H127" s="12" t="inlineStr">
        <is>
          <t>Dashboard &gt; Wiki</t>
        </is>
      </c>
      <c r="I127" s="14" t="inlineStr">
        <is>
          <t>À tester</t>
        </is>
      </c>
      <c r="J127" s="15" t="inlineStr"/>
      <c r="K127" s="14" t="inlineStr"/>
      <c r="L127" s="15" t="inlineStr"/>
    </row>
    <row r="128">
      <c r="A128" s="11" t="inlineStr">
        <is>
          <t>JOU-01</t>
        </is>
      </c>
      <c r="B128" s="12" t="inlineStr">
        <is>
          <t>Journaux</t>
        </is>
      </c>
      <c r="C128" s="12" t="inlineStr">
        <is>
          <t>Créer les salons de logs</t>
        </is>
      </c>
      <c r="D128" s="13" t="inlineStr">
        <is>
          <t>Critique</t>
        </is>
      </c>
      <c r="E128" s="12" t="inlineStr">
        <is>
          <t>Permission de gestion</t>
        </is>
      </c>
      <c r="F128" s="12" t="inlineStr">
        <is>
          <t>`/create_logs`.</t>
        </is>
      </c>
      <c r="G128" s="12" t="inlineStr">
        <is>
          <t>Les cinq salons sont créés et leurs identifiants enregistrés.</t>
        </is>
      </c>
      <c r="H128" s="12" t="inlineStr">
        <is>
          <t>Discord + Dashboard &gt; Configurations</t>
        </is>
      </c>
      <c r="I128" s="14" t="inlineStr">
        <is>
          <t>À tester</t>
        </is>
      </c>
      <c r="J128" s="15" t="inlineStr"/>
      <c r="K128" s="14" t="inlineStr"/>
      <c r="L128" s="15" t="inlineStr"/>
    </row>
    <row r="129">
      <c r="A129" s="11" t="inlineStr">
        <is>
          <t>JOU-02</t>
        </is>
      </c>
      <c r="B129" s="12" t="inlineStr">
        <is>
          <t>Journaux</t>
        </is>
      </c>
      <c r="C129" s="12" t="inlineStr">
        <is>
          <t>Journal des messages</t>
        </is>
      </c>
      <c r="D129" s="16" t="inlineStr">
        <is>
          <t>Majeure</t>
        </is>
      </c>
      <c r="E129" s="12" t="inlineStr">
        <is>
          <t>Salon de logs des messages configuré</t>
        </is>
      </c>
      <c r="F129" s="12" t="inlineStr">
        <is>
          <t>Supprimer puis éditer un message.</t>
        </is>
      </c>
      <c r="G129" s="12" t="inlineStr">
        <is>
          <t>Deux entrées distinctes. Envoyer un GIF ne produit pas de fausse « modification ».</t>
        </is>
      </c>
      <c r="H129" s="12" t="inlineStr">
        <is>
          <t>Discord &gt; journal des messages</t>
        </is>
      </c>
      <c r="I129" s="14" t="inlineStr">
        <is>
          <t>À tester</t>
        </is>
      </c>
      <c r="J129" s="15" t="inlineStr"/>
      <c r="K129" s="14" t="inlineStr"/>
      <c r="L129" s="15" t="inlineStr"/>
    </row>
    <row r="130">
      <c r="A130" s="11" t="inlineStr">
        <is>
          <t>JOU-03</t>
        </is>
      </c>
      <c r="B130" s="12" t="inlineStr">
        <is>
          <t>Journaux</t>
        </is>
      </c>
      <c r="C130" s="12" t="inlineStr">
        <is>
          <t>Journal des vocaux</t>
        </is>
      </c>
      <c r="D130" s="16" t="inlineStr">
        <is>
          <t>Majeure</t>
        </is>
      </c>
      <c r="E130" s="12" t="inlineStr">
        <is>
          <t>Salon de logs des vocaux configuré</t>
        </is>
      </c>
      <c r="F130" s="12" t="inlineStr">
        <is>
          <t>Créer un salon temporaire, le rejoindre, le quitter.</t>
        </is>
      </c>
      <c r="G130" s="12" t="inlineStr">
        <is>
          <t>Une entrée par événement, sans mention des membres si le réglage est désactivé.</t>
        </is>
      </c>
      <c r="H130" s="12" t="inlineStr">
        <is>
          <t>Discord &gt; journal des vocaux</t>
        </is>
      </c>
      <c r="I130" s="14" t="inlineStr">
        <is>
          <t>À tester</t>
        </is>
      </c>
      <c r="J130" s="15" t="inlineStr"/>
      <c r="K130" s="14" t="inlineStr"/>
      <c r="L130" s="15" t="inlineStr"/>
    </row>
    <row r="131">
      <c r="A131" s="11" t="inlineStr">
        <is>
          <t>JOU-04</t>
        </is>
      </c>
      <c r="B131" s="12" t="inlineStr">
        <is>
          <t>Journaux</t>
        </is>
      </c>
      <c r="C131" s="12" t="inlineStr">
        <is>
          <t>Mentions des membres dans les journaux</t>
        </is>
      </c>
      <c r="D131" s="16" t="inlineStr">
        <is>
          <t>Majeure</t>
        </is>
      </c>
      <c r="E131" s="12" t="inlineStr">
        <is>
          <t>Permission logs:write</t>
        </is>
      </c>
      <c r="F131" s="12" t="inlineStr">
        <is>
          <t>Activer « Mentionner les membres », produire une entrée, puis désactiver et recommencer.</t>
        </is>
      </c>
      <c r="G131" s="12" t="inlineStr">
        <is>
          <t>Activé : mention cliquable. Désactivé : « pseudo | identifiant ». L'identifiant figure dans les deux cas.</t>
        </is>
      </c>
      <c r="H131" s="12" t="inlineStr">
        <is>
          <t>Discord &gt; journaux</t>
        </is>
      </c>
      <c r="I131" s="14" t="inlineStr">
        <is>
          <t>À tester</t>
        </is>
      </c>
      <c r="J131" s="15" t="inlineStr"/>
      <c r="K131" s="14" t="inlineStr"/>
      <c r="L131" s="15" t="inlineStr"/>
    </row>
    <row r="132">
      <c r="A132" s="11" t="inlineStr">
        <is>
          <t>JOU-05</t>
        </is>
      </c>
      <c r="B132" s="12" t="inlineStr">
        <is>
          <t>Journaux</t>
        </is>
      </c>
      <c r="C132" s="12" t="inlineStr">
        <is>
          <t>Rôle inexistant</t>
        </is>
      </c>
      <c r="D132" s="16" t="inlineStr">
        <is>
          <t>Mineure</t>
        </is>
      </c>
      <c r="E132" s="12" t="inlineStr">
        <is>
          <t>Un identifiant de rôle supprimé depuis Discord</t>
        </is>
      </c>
      <c r="F132" s="12" t="inlineStr">
        <is>
          <t>Ouvrir un ticket avec ce rôle encore configuré.</t>
        </is>
      </c>
      <c r="G132" s="12" t="inlineStr">
        <is>
          <t>Le ticket s'ouvre sans mention, avec un avertissement en console. L'ouverture n'échoue pas.</t>
        </is>
      </c>
      <c r="H132" s="12" t="inlineStr">
        <is>
          <t>Logs bot</t>
        </is>
      </c>
      <c r="I132" s="14" t="inlineStr">
        <is>
          <t>À tester</t>
        </is>
      </c>
      <c r="J132" s="15" t="inlineStr"/>
      <c r="K132" s="14" t="inlineStr"/>
      <c r="L132" s="15" t="inlineStr"/>
    </row>
    <row r="133">
      <c r="A133" s="11" t="inlineStr">
        <is>
          <t>JOU-06</t>
        </is>
      </c>
      <c r="B133" s="12" t="inlineStr">
        <is>
          <t>Journaux</t>
        </is>
      </c>
      <c r="C133" s="12" t="inlineStr">
        <is>
          <t>Identifiant de rôle invalide</t>
        </is>
      </c>
      <c r="D133" s="16" t="inlineStr">
        <is>
          <t>Mineure</t>
        </is>
      </c>
      <c r="E133" s="12" t="inlineStr">
        <is>
          <t>Permission logs:write</t>
        </is>
      </c>
      <c r="F133" s="12" t="inlineStr">
        <is>
          <t>Saisir « @Modération » dans un champ de rôle.</t>
        </is>
      </c>
      <c r="G133" s="12" t="inlineStr">
        <is>
          <t>Le dashboard affiche l'erreur et l'API refuse l'enregistrement.</t>
        </is>
      </c>
      <c r="H133" s="12" t="inlineStr">
        <is>
          <t>Dashboard &gt; Rôles &amp; mentions</t>
        </is>
      </c>
      <c r="I133" s="14" t="inlineStr">
        <is>
          <t>À tester</t>
        </is>
      </c>
      <c r="J133" s="15" t="inlineStr"/>
      <c r="K133" s="14" t="inlineStr"/>
      <c r="L133" s="15" t="inlineStr"/>
    </row>
    <row r="134">
      <c r="A134" s="11" t="inlineStr">
        <is>
          <t>SYN-01</t>
        </is>
      </c>
      <c r="B134" s="12" t="inlineStr">
        <is>
          <t>Synchronisation</t>
        </is>
      </c>
      <c r="C134" s="12" t="inlineStr">
        <is>
          <t>Délai web vers Discord</t>
        </is>
      </c>
      <c r="D134" s="13" t="inlineStr">
        <is>
          <t>Critique</t>
        </is>
      </c>
      <c r="E134" s="12" t="inlineStr">
        <is>
          <t>Bot et API démarrés</t>
        </is>
      </c>
      <c r="F134" s="12" t="inlineStr">
        <is>
          <t>Poser une sanction depuis le dashboard et chronométrer.</t>
        </is>
      </c>
      <c r="G134" s="12" t="inlineStr">
        <is>
          <t>L'effet apparaît sur Discord en cinq secondes au plus.</t>
        </is>
      </c>
      <c r="H134" s="12" t="inlineStr">
        <is>
          <t>Discord</t>
        </is>
      </c>
      <c r="I134" s="14" t="inlineStr">
        <is>
          <t>À tester</t>
        </is>
      </c>
      <c r="J134" s="15" t="inlineStr"/>
      <c r="K134" s="14" t="inlineStr"/>
      <c r="L134" s="15" t="inlineStr"/>
    </row>
    <row r="135">
      <c r="A135" s="11" t="inlineStr">
        <is>
          <t>SYN-02</t>
        </is>
      </c>
      <c r="B135" s="12" t="inlineStr">
        <is>
          <t>Synchronisation</t>
        </is>
      </c>
      <c r="C135" s="12" t="inlineStr">
        <is>
          <t>File d'attente pendant un arrêt</t>
        </is>
      </c>
      <c r="D135" s="16" t="inlineStr">
        <is>
          <t>Majeure</t>
        </is>
      </c>
      <c r="E135" s="12" t="inlineStr">
        <is>
          <t>Bot arrêtable</t>
        </is>
      </c>
      <c r="F135" s="12" t="inlineStr">
        <is>
          <t>Arrêter le bot, poser une sanction et un avertissement depuis la webapp, redémarrer.</t>
        </is>
      </c>
      <c r="G135" s="12" t="inlineStr">
        <is>
          <t>Les deux actions sont rattrapées au redémarrage.</t>
        </is>
      </c>
      <c r="H135" s="12" t="inlineStr">
        <is>
          <t>Discord</t>
        </is>
      </c>
      <c r="I135" s="14" t="inlineStr">
        <is>
          <t>À tester</t>
        </is>
      </c>
      <c r="J135" s="15" t="inlineStr"/>
      <c r="K135" s="14" t="inlineStr"/>
      <c r="L135" s="15" t="inlineStr"/>
    </row>
    <row r="136">
      <c r="A136" s="11" t="inlineStr">
        <is>
          <t>SYN-03</t>
        </is>
      </c>
      <c r="B136" s="12" t="inlineStr">
        <is>
          <t>Synchronisation</t>
        </is>
      </c>
      <c r="C136" s="12" t="inlineStr">
        <is>
          <t>Message de règlement non rattrapé</t>
        </is>
      </c>
      <c r="D136" s="16" t="inlineStr">
        <is>
          <t>Majeure</t>
        </is>
      </c>
      <c r="E136" s="12" t="inlineStr">
        <is>
          <t>Quarantaine configurée</t>
        </is>
      </c>
      <c r="F136" s="12" t="inlineStr">
        <is>
          <t>Modifier le texte du règlement depuis le dashboard.</t>
        </is>
      </c>
      <c r="G136" s="12" t="inlineStr">
        <is>
          <t>Le message déjà publié ne change pas : il faut rejouer /quarantaine-message. Comportement attendu.</t>
        </is>
      </c>
      <c r="H136" s="12" t="inlineStr">
        <is>
          <t>Discord</t>
        </is>
      </c>
      <c r="I136" s="14" t="inlineStr">
        <is>
          <t>À tester</t>
        </is>
      </c>
      <c r="J136" s="15" t="inlineStr"/>
      <c r="K136" s="14" t="inlineStr"/>
      <c r="L136" s="15" t="inlineStr"/>
    </row>
    <row r="137">
      <c r="A137" s="11" t="inlineStr">
        <is>
          <t>SYN-04</t>
        </is>
      </c>
      <c r="B137" s="12" t="inlineStr">
        <is>
          <t>Synchronisation</t>
        </is>
      </c>
      <c r="C137" s="12" t="inlineStr">
        <is>
          <t>Compteurs d'activité à l'arrêt</t>
        </is>
      </c>
      <c r="D137" s="16" t="inlineStr">
        <is>
          <t>Mineure</t>
        </is>
      </c>
      <c r="E137" s="12" t="inlineStr">
        <is>
          <t>Bot arrêtable</t>
        </is>
      </c>
      <c r="F137" s="12" t="inlineStr">
        <is>
          <t>Écrire des messages puis arrêter proprement le bot.</t>
        </is>
      </c>
      <c r="G137" s="12" t="inlineStr">
        <is>
          <t>Les compteurs sont écrits avant la sortie, sans perte.</t>
        </is>
      </c>
      <c r="H137" s="12" t="inlineStr">
        <is>
          <t>Dashboard &gt; Vue d'ensemble</t>
        </is>
      </c>
      <c r="I137" s="14" t="inlineStr">
        <is>
          <t>À tester</t>
        </is>
      </c>
      <c r="J137" s="15" t="inlineStr"/>
      <c r="K137" s="14" t="inlineStr"/>
      <c r="L137" s="15" t="inlineStr"/>
    </row>
    <row r="138">
      <c r="A138" s="11" t="inlineStr">
        <is>
          <t>STA-01</t>
        </is>
      </c>
      <c r="B138" s="12" t="inlineStr">
        <is>
          <t>Statut</t>
        </is>
      </c>
      <c r="C138" s="12" t="inlineStr">
        <is>
          <t>Page Statut</t>
        </is>
      </c>
      <c r="D138" s="16" t="inlineStr">
        <is>
          <t>Majeure</t>
        </is>
      </c>
      <c r="E138" s="12" t="inlineStr">
        <is>
          <t>Permission status:read</t>
        </is>
      </c>
      <c r="F138" s="12" t="inlineStr">
        <is>
          <t>Ouvrir la page Statut.</t>
        </is>
      </c>
      <c r="G138" s="12" t="inlineStr">
        <is>
          <t>Le bot est annoncé connecté, avec un battement récent.</t>
        </is>
      </c>
      <c r="H138" s="12" t="inlineStr">
        <is>
          <t>Dashboard &gt; Statut</t>
        </is>
      </c>
      <c r="I138" s="14" t="inlineStr">
        <is>
          <t>À tester</t>
        </is>
      </c>
      <c r="J138" s="15" t="inlineStr"/>
      <c r="K138" s="14" t="inlineStr"/>
      <c r="L138" s="15" t="inlineStr"/>
    </row>
    <row r="139">
      <c r="A139" s="11" t="inlineStr">
        <is>
          <t>STA-02</t>
        </is>
      </c>
      <c r="B139" s="12" t="inlineStr">
        <is>
          <t>Statut</t>
        </is>
      </c>
      <c r="C139" s="12" t="inlineStr">
        <is>
          <t>Bot arrêté</t>
        </is>
      </c>
      <c r="D139" s="16" t="inlineStr">
        <is>
          <t>Majeure</t>
        </is>
      </c>
      <c r="E139" s="12" t="inlineStr">
        <is>
          <t>Bot arrêtable</t>
        </is>
      </c>
      <c r="F139" s="12" t="inlineStr">
        <is>
          <t>Arrêter le bot puis recharger la page Statut.</t>
        </is>
      </c>
      <c r="G139" s="12" t="inlineStr">
        <is>
          <t>La page signale l'absence de battement récent.</t>
        </is>
      </c>
      <c r="H139" s="12" t="inlineStr">
        <is>
          <t>Dashboard &gt; Statut</t>
        </is>
      </c>
      <c r="I139" s="14" t="inlineStr">
        <is>
          <t>À tester</t>
        </is>
      </c>
      <c r="J139" s="15" t="inlineStr"/>
      <c r="K139" s="14" t="inlineStr"/>
      <c r="L139" s="15" t="inlineStr"/>
    </row>
    <row r="140">
      <c r="A140" s="11" t="inlineStr">
        <is>
          <t>STA-03</t>
        </is>
      </c>
      <c r="B140" s="12" t="inlineStr">
        <is>
          <t>Statut</t>
        </is>
      </c>
      <c r="C140" s="12" t="inlineStr">
        <is>
          <t>Reste à configurer</t>
        </is>
      </c>
      <c r="D140" s="16" t="inlineStr">
        <is>
          <t>Mineure</t>
        </is>
      </c>
      <c r="E140" s="12" t="inlineStr">
        <is>
          <t>—</t>
        </is>
      </c>
      <c r="F140" s="12" t="inlineStr">
        <is>
          <t>`/setup`.</t>
        </is>
      </c>
      <c r="G140" s="12" t="inlineStr">
        <is>
          <t>La liste de ce qui reste à configurer est juste et à jour.</t>
        </is>
      </c>
      <c r="H140" s="12" t="inlineStr">
        <is>
          <t>Discord</t>
        </is>
      </c>
      <c r="I140" s="14" t="inlineStr">
        <is>
          <t>À tester</t>
        </is>
      </c>
      <c r="J140" s="15" t="inlineStr"/>
      <c r="K140" s="14" t="inlineStr"/>
      <c r="L140" s="15" t="inlineStr"/>
    </row>
    <row r="141">
      <c r="A141" s="11" t="inlineStr">
        <is>
          <t>INT-01</t>
        </is>
      </c>
      <c r="B141" s="12" t="inlineStr">
        <is>
          <t>Interface</t>
        </is>
      </c>
      <c r="C141" s="12" t="inlineStr">
        <is>
          <t>Rythme vertical des pages</t>
        </is>
      </c>
      <c r="D141" s="16" t="inlineStr">
        <is>
          <t>Majeure</t>
        </is>
      </c>
      <c r="E141" s="12" t="inlineStr">
        <is>
          <t>—</t>
        </is>
      </c>
      <c r="F141" s="12" t="inlineStr">
        <is>
          <t>Parcourir une dizaine de pages et comparer l'écart entre les blocs.</t>
        </is>
      </c>
      <c r="G141" s="12" t="inlineStr">
        <is>
          <t>32 px entre sections sur toutes les pages, sans exception visible.</t>
        </is>
      </c>
      <c r="H141" s="12" t="inlineStr">
        <is>
          <t>Dashboard</t>
        </is>
      </c>
      <c r="I141" s="14" t="inlineStr">
        <is>
          <t>À tester</t>
        </is>
      </c>
      <c r="J141" s="15" t="inlineStr"/>
      <c r="K141" s="14" t="inlineStr"/>
      <c r="L141" s="15" t="inlineStr"/>
    </row>
    <row r="142">
      <c r="A142" s="11" t="inlineStr">
        <is>
          <t>INT-02</t>
        </is>
      </c>
      <c r="B142" s="12" t="inlineStr">
        <is>
          <t>Interface</t>
        </is>
      </c>
      <c r="C142" s="12" t="inlineStr">
        <is>
          <t>Respiration des cartes</t>
        </is>
      </c>
      <c r="D142" s="16" t="inlineStr">
        <is>
          <t>Majeure</t>
        </is>
      </c>
      <c r="E142" s="12" t="inlineStr">
        <is>
          <t>—</t>
        </is>
      </c>
      <c r="F142" s="12" t="inlineStr">
        <is>
          <t>Ouvrir une page de réglages (Automodération, Vocaux).</t>
        </is>
      </c>
      <c r="G142" s="12" t="inlineStr">
        <is>
          <t>24 px à l'intérieur des cartes, 32 px entre elles : l'extérieur reste plus grand que l'intérieur.</t>
        </is>
      </c>
      <c r="H142" s="12" t="inlineStr">
        <is>
          <t>Dashboard</t>
        </is>
      </c>
      <c r="I142" s="14" t="inlineStr">
        <is>
          <t>À tester</t>
        </is>
      </c>
      <c r="J142" s="15" t="inlineStr"/>
      <c r="K142" s="14" t="inlineStr"/>
      <c r="L142" s="15" t="inlineStr"/>
    </row>
    <row r="143">
      <c r="A143" s="11" t="inlineStr">
        <is>
          <t>INT-03</t>
        </is>
      </c>
      <c r="B143" s="12" t="inlineStr">
        <is>
          <t>Interface</t>
        </is>
      </c>
      <c r="C143" s="12" t="inlineStr">
        <is>
          <t>Longueur de ligne</t>
        </is>
      </c>
      <c r="D143" s="16" t="inlineStr">
        <is>
          <t>Majeure</t>
        </is>
      </c>
      <c r="E143" s="12" t="inlineStr">
        <is>
          <t>Écran large (1600 px ou plus)</t>
        </is>
      </c>
      <c r="F143" s="12" t="inlineStr">
        <is>
          <t>Lire les sous-titres de page et les sous-titres de carte.</t>
        </is>
      </c>
      <c r="G143" s="12" t="inlineStr">
        <is>
          <t>Aucun texte suivi ne s'étire sur toute la largeur : la ligne reste courte et lisible.</t>
        </is>
      </c>
      <c r="H143" s="12" t="inlineStr">
        <is>
          <t>Dashboard</t>
        </is>
      </c>
      <c r="I143" s="14" t="inlineStr">
        <is>
          <t>À tester</t>
        </is>
      </c>
      <c r="J143" s="15" t="inlineStr"/>
      <c r="K143" s="14" t="inlineStr"/>
      <c r="L143" s="15" t="inlineStr"/>
    </row>
    <row r="144">
      <c r="A144" s="11" t="inlineStr">
        <is>
          <t>INT-04</t>
        </is>
      </c>
      <c r="B144" s="12" t="inlineStr">
        <is>
          <t>Interface</t>
        </is>
      </c>
      <c r="C144" s="12" t="inlineStr">
        <is>
          <t>Lisibilité des tableaux</t>
        </is>
      </c>
      <c r="D144" s="16" t="inlineStr">
        <is>
          <t>Majeure</t>
        </is>
      </c>
      <c r="E144" s="12" t="inlineStr">
        <is>
          <t>Une page avec un tableau dense (Membres)</t>
        </is>
      </c>
      <c r="F144" s="12" t="inlineStr">
        <is>
          <t>Lire une ligne portant plusieurs rôles et deux étages d'information.</t>
        </is>
      </c>
      <c r="G144" s="12" t="inlineStr">
        <is>
          <t>La ligne ne se tasse pas : elle grandit avec son contenu.</t>
        </is>
      </c>
      <c r="H144" s="12" t="inlineStr">
        <is>
          <t>Dashboard &gt; Membres</t>
        </is>
      </c>
      <c r="I144" s="14" t="inlineStr">
        <is>
          <t>À tester</t>
        </is>
      </c>
      <c r="J144" s="15" t="inlineStr"/>
      <c r="K144" s="14" t="inlineStr"/>
      <c r="L144" s="15" t="inlineStr"/>
    </row>
    <row r="145">
      <c r="A145" s="11" t="inlineStr">
        <is>
          <t>INT-05</t>
        </is>
      </c>
      <c r="B145" s="12" t="inlineStr">
        <is>
          <t>Interface</t>
        </is>
      </c>
      <c r="C145" s="12" t="inlineStr">
        <is>
          <t>Thème clair et sombre</t>
        </is>
      </c>
      <c r="D145" s="16" t="inlineStr">
        <is>
          <t>Majeure</t>
        </is>
      </c>
      <c r="E145" s="12" t="inlineStr">
        <is>
          <t>—</t>
        </is>
      </c>
      <c r="F145" s="12" t="inlineStr">
        <is>
          <t>Basculer le thème sur plusieurs pages, graphiques compris.</t>
        </is>
      </c>
      <c r="G145" s="12" t="inlineStr">
        <is>
          <t>Les contrastes restent lisibles dans les deux modes, y compris sur les pastilles de statut.</t>
        </is>
      </c>
      <c r="H145" s="12" t="inlineStr">
        <is>
          <t>Dashboard</t>
        </is>
      </c>
      <c r="I145" s="14" t="inlineStr">
        <is>
          <t>À tester</t>
        </is>
      </c>
      <c r="J145" s="15" t="inlineStr"/>
      <c r="K145" s="14" t="inlineStr"/>
      <c r="L145" s="15" t="inlineStr"/>
    </row>
    <row r="146">
      <c r="A146" s="11" t="inlineStr">
        <is>
          <t>INT-06</t>
        </is>
      </c>
      <c r="B146" s="12" t="inlineStr">
        <is>
          <t>Interface</t>
        </is>
      </c>
      <c r="C146" s="12" t="inlineStr">
        <is>
          <t>Affichage mobile</t>
        </is>
      </c>
      <c r="D146" s="16" t="inlineStr">
        <is>
          <t>Mineure</t>
        </is>
      </c>
      <c r="E146" s="12" t="inlineStr">
        <is>
          <t>—</t>
        </is>
      </c>
      <c r="F146" s="12" t="inlineStr">
        <is>
          <t>Réduire la fenêtre à une largeur de téléphone.</t>
        </is>
      </c>
      <c r="G146" s="12" t="inlineStr">
        <is>
          <t>La barre latérale devient un tiroir. Aucun débordement horizontal ; les tableaux défilent dans leur cadre.</t>
        </is>
      </c>
      <c r="H146" s="12" t="inlineStr">
        <is>
          <t>Dashboard</t>
        </is>
      </c>
      <c r="I146" s="14" t="inlineStr">
        <is>
          <t>À tester</t>
        </is>
      </c>
      <c r="J146" s="15" t="inlineStr"/>
      <c r="K146" s="14" t="inlineStr"/>
      <c r="L146" s="15" t="inlineStr"/>
    </row>
    <row r="147">
      <c r="A147" s="11" t="inlineStr">
        <is>
          <t>INT-07</t>
        </is>
      </c>
      <c r="B147" s="12" t="inlineStr">
        <is>
          <t>Interface</t>
        </is>
      </c>
      <c r="C147" s="12" t="inlineStr">
        <is>
          <t>Navigation au clavier</t>
        </is>
      </c>
      <c r="D147" s="16" t="inlineStr">
        <is>
          <t>Mineure</t>
        </is>
      </c>
      <c r="E147" s="12" t="inlineStr">
        <is>
          <t>—</t>
        </is>
      </c>
      <c r="F147" s="12" t="inlineStr">
        <is>
          <t>Parcourir un formulaire à la touche Tab.</t>
        </is>
      </c>
      <c r="G147" s="12" t="inlineStr">
        <is>
          <t>L'anneau de focus reste visible à chaque étape et l'ordre suit la lecture.</t>
        </is>
      </c>
      <c r="H147" s="12" t="inlineStr">
        <is>
          <t>Dashboard</t>
        </is>
      </c>
      <c r="I147" s="14" t="inlineStr">
        <is>
          <t>À tester</t>
        </is>
      </c>
      <c r="J147" s="15" t="inlineStr"/>
      <c r="K147" s="14" t="inlineStr"/>
      <c r="L147" s="15" t="inlineStr"/>
    </row>
  </sheetData>
  <autoFilter ref="A1:L147"/>
  <dataValidations count="2">
    <dataValidation sqref="I3:I147" showDropDown="0" showInputMessage="0" showErrorMessage="0" allowBlank="1" error="Choisir un statut dans la liste." type="list">
      <formula1>"À tester,OK,KO,Bloqué,Non applicable"</formula1>
    </dataValidation>
    <dataValidation sqref="D3:D147" showDropDown="0" showInputMessage="0" showErrorMessage="0" allowBlank="1" type="list">
      <formula1>"Critique,Majeure,Mineure"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</cols>
  <sheetData>
    <row r="1">
      <c r="A1" s="4" t="inlineStr">
        <is>
          <t>Synthèse de la campagne</t>
        </is>
      </c>
    </row>
    <row r="2">
      <c r="A2" s="8" t="inlineStr">
        <is>
          <t>Tout est calculé depuis la feuille « Plan de test » : rien à saisir ici.</t>
        </is>
      </c>
    </row>
    <row r="4" ht="30" customHeight="1">
      <c r="A4" s="9" t="inlineStr">
        <is>
          <t>Statut</t>
        </is>
      </c>
      <c r="B4" s="9" t="inlineStr">
        <is>
          <t>Cas</t>
        </is>
      </c>
      <c r="C4" s="9" t="inlineStr">
        <is>
          <t>Part</t>
        </is>
      </c>
    </row>
    <row r="5">
      <c r="A5" s="17" t="inlineStr">
        <is>
          <t>À tester</t>
        </is>
      </c>
      <c r="B5" s="17">
        <f>COUNTIF('Plan de test'!$I$3:$I$147,A5)</f>
        <v/>
      </c>
      <c r="C5" s="18">
        <f>IFERROR(B5/$B$10,0)</f>
        <v/>
      </c>
    </row>
    <row r="6">
      <c r="A6" s="17" t="inlineStr">
        <is>
          <t>OK</t>
        </is>
      </c>
      <c r="B6" s="17">
        <f>COUNTIF('Plan de test'!$I$3:$I$147,A6)</f>
        <v/>
      </c>
      <c r="C6" s="18">
        <f>IFERROR(B6/$B$10,0)</f>
        <v/>
      </c>
    </row>
    <row r="7">
      <c r="A7" s="17" t="inlineStr">
        <is>
          <t>KO</t>
        </is>
      </c>
      <c r="B7" s="17">
        <f>COUNTIF('Plan de test'!$I$3:$I$147,A7)</f>
        <v/>
      </c>
      <c r="C7" s="18">
        <f>IFERROR(B7/$B$10,0)</f>
        <v/>
      </c>
    </row>
    <row r="8">
      <c r="A8" s="17" t="inlineStr">
        <is>
          <t>Bloqué</t>
        </is>
      </c>
      <c r="B8" s="17">
        <f>COUNTIF('Plan de test'!$I$3:$I$147,A8)</f>
        <v/>
      </c>
      <c r="C8" s="18">
        <f>IFERROR(B8/$B$10,0)</f>
        <v/>
      </c>
    </row>
    <row r="9">
      <c r="A9" s="17" t="inlineStr">
        <is>
          <t>Non applicable</t>
        </is>
      </c>
      <c r="B9" s="17">
        <f>COUNTIF('Plan de test'!$I$3:$I$147,A9)</f>
        <v/>
      </c>
      <c r="C9" s="18">
        <f>IFERROR(B9/$B$10,0)</f>
        <v/>
      </c>
    </row>
    <row r="10">
      <c r="A10" s="19" t="inlineStr">
        <is>
          <t>Total</t>
        </is>
      </c>
      <c r="B10" s="19">
        <f>SUM(B5:B9)</f>
        <v/>
      </c>
      <c r="C10" s="20">
        <f>IFERROR(B10/B10,0)</f>
        <v/>
      </c>
    </row>
    <row r="12">
      <c r="A12" s="3" t="inlineStr">
        <is>
          <t>Taux de réussite (OK / cas joués)</t>
        </is>
      </c>
      <c r="B12" s="21">
        <f>IFERROR(COUNTIF('Plan de test'!$I$3:$I$147,"OK")/(COUNTIF('Plan de test'!$I$3:$I$147,"OK")+COUNTIF('Plan de test'!$I$3:$I$147,"KO")),0)</f>
        <v/>
      </c>
    </row>
    <row r="13">
      <c r="A13" s="3" t="inlineStr">
        <is>
          <t>Cas critiques restant à jouer</t>
        </is>
      </c>
      <c r="B13" s="22">
        <f>COUNTIFS('Plan de test'!$D$3:$D$147,"Critique",'Plan de test'!$I$3:$I$147,"À tester")</f>
        <v/>
      </c>
    </row>
    <row r="14">
      <c r="A14" s="3" t="inlineStr">
        <is>
          <t>Cas critiques en échec</t>
        </is>
      </c>
      <c r="B14" s="22">
        <f>COUNTIFS('Plan de test'!$D$3:$D$147,"Critique",'Plan de test'!$I$3:$I$147,"KO")</f>
        <v/>
      </c>
    </row>
    <row r="17" ht="30" customHeight="1">
      <c r="A17" s="9" t="inlineStr">
        <is>
          <t>Domaine</t>
        </is>
      </c>
      <c r="B17" s="9" t="inlineStr">
        <is>
          <t>Cas</t>
        </is>
      </c>
      <c r="C17" s="9" t="inlineStr">
        <is>
          <t>OK</t>
        </is>
      </c>
      <c r="D17" s="9" t="inlineStr">
        <is>
          <t>KO</t>
        </is>
      </c>
      <c r="E17" s="9" t="inlineStr">
        <is>
          <t>À tester</t>
        </is>
      </c>
      <c r="F17" s="9" t="inlineStr">
        <is>
          <t>Reste</t>
        </is>
      </c>
    </row>
    <row r="18">
      <c r="A18" s="17" t="inlineStr">
        <is>
          <t>Déploiement</t>
        </is>
      </c>
      <c r="B18" s="23">
        <f>COUNTIF('Plan de test'!$B$3:$B$147,A18)</f>
        <v/>
      </c>
      <c r="C18" s="23">
        <f>COUNTIFS('Plan de test'!$B$3:$B$147,A18,'Plan de test'!$I$3:$I$147,"OK")</f>
        <v/>
      </c>
      <c r="D18" s="23">
        <f>COUNTIFS('Plan de test'!$B$3:$B$147,A18,'Plan de test'!$I$3:$I$147,"KO")</f>
        <v/>
      </c>
      <c r="E18" s="23">
        <f>COUNTIFS('Plan de test'!$B$3:$B$147,A18,'Plan de test'!$I$3:$I$147,"À tester")</f>
        <v/>
      </c>
      <c r="F18" s="23">
        <f>B18-C18-D18</f>
        <v/>
      </c>
    </row>
    <row r="19">
      <c r="A19" s="17" t="inlineStr">
        <is>
          <t>Authentification</t>
        </is>
      </c>
      <c r="B19" s="23">
        <f>COUNTIF('Plan de test'!$B$3:$B$147,A19)</f>
        <v/>
      </c>
      <c r="C19" s="23">
        <f>COUNTIFS('Plan de test'!$B$3:$B$147,A19,'Plan de test'!$I$3:$I$147,"OK")</f>
        <v/>
      </c>
      <c r="D19" s="23">
        <f>COUNTIFS('Plan de test'!$B$3:$B$147,A19,'Plan de test'!$I$3:$I$147,"KO")</f>
        <v/>
      </c>
      <c r="E19" s="23">
        <f>COUNTIFS('Plan de test'!$B$3:$B$147,A19,'Plan de test'!$I$3:$I$147,"À tester")</f>
        <v/>
      </c>
      <c r="F19" s="23">
        <f>B19-C19-D19</f>
        <v/>
      </c>
    </row>
    <row r="20">
      <c r="A20" s="17" t="inlineStr">
        <is>
          <t>Permissions</t>
        </is>
      </c>
      <c r="B20" s="23">
        <f>COUNTIF('Plan de test'!$B$3:$B$147,A20)</f>
        <v/>
      </c>
      <c r="C20" s="23">
        <f>COUNTIFS('Plan de test'!$B$3:$B$147,A20,'Plan de test'!$I$3:$I$147,"OK")</f>
        <v/>
      </c>
      <c r="D20" s="23">
        <f>COUNTIFS('Plan de test'!$B$3:$B$147,A20,'Plan de test'!$I$3:$I$147,"KO")</f>
        <v/>
      </c>
      <c r="E20" s="23">
        <f>COUNTIFS('Plan de test'!$B$3:$B$147,A20,'Plan de test'!$I$3:$I$147,"À tester")</f>
        <v/>
      </c>
      <c r="F20" s="23">
        <f>B20-C20-D20</f>
        <v/>
      </c>
    </row>
    <row r="21">
      <c r="A21" s="17" t="inlineStr">
        <is>
          <t>Référentiel</t>
        </is>
      </c>
      <c r="B21" s="23">
        <f>COUNTIF('Plan de test'!$B$3:$B$147,A21)</f>
        <v/>
      </c>
      <c r="C21" s="23">
        <f>COUNTIFS('Plan de test'!$B$3:$B$147,A21,'Plan de test'!$I$3:$I$147,"OK")</f>
        <v/>
      </c>
      <c r="D21" s="23">
        <f>COUNTIFS('Plan de test'!$B$3:$B$147,A21,'Plan de test'!$I$3:$I$147,"KO")</f>
        <v/>
      </c>
      <c r="E21" s="23">
        <f>COUNTIFS('Plan de test'!$B$3:$B$147,A21,'Plan de test'!$I$3:$I$147,"À tester")</f>
        <v/>
      </c>
      <c r="F21" s="23">
        <f>B21-C21-D21</f>
        <v/>
      </c>
    </row>
    <row r="22">
      <c r="A22" s="17" t="inlineStr">
        <is>
          <t>Modération Discord</t>
        </is>
      </c>
      <c r="B22" s="23">
        <f>COUNTIF('Plan de test'!$B$3:$B$147,A22)</f>
        <v/>
      </c>
      <c r="C22" s="23">
        <f>COUNTIFS('Plan de test'!$B$3:$B$147,A22,'Plan de test'!$I$3:$I$147,"OK")</f>
        <v/>
      </c>
      <c r="D22" s="23">
        <f>COUNTIFS('Plan de test'!$B$3:$B$147,A22,'Plan de test'!$I$3:$I$147,"KO")</f>
        <v/>
      </c>
      <c r="E22" s="23">
        <f>COUNTIFS('Plan de test'!$B$3:$B$147,A22,'Plan de test'!$I$3:$I$147,"À tester")</f>
        <v/>
      </c>
      <c r="F22" s="23">
        <f>B22-C22-D22</f>
        <v/>
      </c>
    </row>
    <row r="23">
      <c r="A23" s="17" t="inlineStr">
        <is>
          <t>Modération web</t>
        </is>
      </c>
      <c r="B23" s="23">
        <f>COUNTIF('Plan de test'!$B$3:$B$147,A23)</f>
        <v/>
      </c>
      <c r="C23" s="23">
        <f>COUNTIFS('Plan de test'!$B$3:$B$147,A23,'Plan de test'!$I$3:$I$147,"OK")</f>
        <v/>
      </c>
      <c r="D23" s="23">
        <f>COUNTIFS('Plan de test'!$B$3:$B$147,A23,'Plan de test'!$I$3:$I$147,"KO")</f>
        <v/>
      </c>
      <c r="E23" s="23">
        <f>COUNTIFS('Plan de test'!$B$3:$B$147,A23,'Plan de test'!$I$3:$I$147,"À tester")</f>
        <v/>
      </c>
      <c r="F23" s="23">
        <f>B23-C23-D23</f>
        <v/>
      </c>
    </row>
    <row r="24">
      <c r="A24" s="17" t="inlineStr">
        <is>
          <t>Tickets</t>
        </is>
      </c>
      <c r="B24" s="23">
        <f>COUNTIF('Plan de test'!$B$3:$B$147,A24)</f>
        <v/>
      </c>
      <c r="C24" s="23">
        <f>COUNTIFS('Plan de test'!$B$3:$B$147,A24,'Plan de test'!$I$3:$I$147,"OK")</f>
        <v/>
      </c>
      <c r="D24" s="23">
        <f>COUNTIFS('Plan de test'!$B$3:$B$147,A24,'Plan de test'!$I$3:$I$147,"KO")</f>
        <v/>
      </c>
      <c r="E24" s="23">
        <f>COUNTIFS('Plan de test'!$B$3:$B$147,A24,'Plan de test'!$I$3:$I$147,"À tester")</f>
        <v/>
      </c>
      <c r="F24" s="23">
        <f>B24-C24-D24</f>
        <v/>
      </c>
    </row>
    <row r="25">
      <c r="A25" s="17" t="inlineStr">
        <is>
          <t>Vocaux</t>
        </is>
      </c>
      <c r="B25" s="23">
        <f>COUNTIF('Plan de test'!$B$3:$B$147,A25)</f>
        <v/>
      </c>
      <c r="C25" s="23">
        <f>COUNTIFS('Plan de test'!$B$3:$B$147,A25,'Plan de test'!$I$3:$I$147,"OK")</f>
        <v/>
      </c>
      <c r="D25" s="23">
        <f>COUNTIFS('Plan de test'!$B$3:$B$147,A25,'Plan de test'!$I$3:$I$147,"KO")</f>
        <v/>
      </c>
      <c r="E25" s="23">
        <f>COUNTIFS('Plan de test'!$B$3:$B$147,A25,'Plan de test'!$I$3:$I$147,"À tester")</f>
        <v/>
      </c>
      <c r="F25" s="23">
        <f>B25-C25-D25</f>
        <v/>
      </c>
    </row>
    <row r="26">
      <c r="A26" s="17" t="inlineStr">
        <is>
          <t>Expérience</t>
        </is>
      </c>
      <c r="B26" s="23">
        <f>COUNTIF('Plan de test'!$B$3:$B$147,A26)</f>
        <v/>
      </c>
      <c r="C26" s="23">
        <f>COUNTIFS('Plan de test'!$B$3:$B$147,A26,'Plan de test'!$I$3:$I$147,"OK")</f>
        <v/>
      </c>
      <c r="D26" s="23">
        <f>COUNTIFS('Plan de test'!$B$3:$B$147,A26,'Plan de test'!$I$3:$I$147,"KO")</f>
        <v/>
      </c>
      <c r="E26" s="23">
        <f>COUNTIFS('Plan de test'!$B$3:$B$147,A26,'Plan de test'!$I$3:$I$147,"À tester")</f>
        <v/>
      </c>
      <c r="F26" s="23">
        <f>B26-C26-D26</f>
        <v/>
      </c>
    </row>
    <row r="27">
      <c r="A27" s="17" t="inlineStr">
        <is>
          <t>Automodération</t>
        </is>
      </c>
      <c r="B27" s="23">
        <f>COUNTIF('Plan de test'!$B$3:$B$147,A27)</f>
        <v/>
      </c>
      <c r="C27" s="23">
        <f>COUNTIFS('Plan de test'!$B$3:$B$147,A27,'Plan de test'!$I$3:$I$147,"OK")</f>
        <v/>
      </c>
      <c r="D27" s="23">
        <f>COUNTIFS('Plan de test'!$B$3:$B$147,A27,'Plan de test'!$I$3:$I$147,"KO")</f>
        <v/>
      </c>
      <c r="E27" s="23">
        <f>COUNTIFS('Plan de test'!$B$3:$B$147,A27,'Plan de test'!$I$3:$I$147,"À tester")</f>
        <v/>
      </c>
      <c r="F27" s="23">
        <f>B27-C27-D27</f>
        <v/>
      </c>
    </row>
    <row r="28">
      <c r="A28" s="17" t="inlineStr">
        <is>
          <t>Anti-raid</t>
        </is>
      </c>
      <c r="B28" s="23">
        <f>COUNTIF('Plan de test'!$B$3:$B$147,A28)</f>
        <v/>
      </c>
      <c r="C28" s="23">
        <f>COUNTIFS('Plan de test'!$B$3:$B$147,A28,'Plan de test'!$I$3:$I$147,"OK")</f>
        <v/>
      </c>
      <c r="D28" s="23">
        <f>COUNTIFS('Plan de test'!$B$3:$B$147,A28,'Plan de test'!$I$3:$I$147,"KO")</f>
        <v/>
      </c>
      <c r="E28" s="23">
        <f>COUNTIFS('Plan de test'!$B$3:$B$147,A28,'Plan de test'!$I$3:$I$147,"À tester")</f>
        <v/>
      </c>
      <c r="F28" s="23">
        <f>B28-C28-D28</f>
        <v/>
      </c>
    </row>
    <row r="29">
      <c r="A29" s="17" t="inlineStr">
        <is>
          <t>Quarantaine</t>
        </is>
      </c>
      <c r="B29" s="23">
        <f>COUNTIF('Plan de test'!$B$3:$B$147,A29)</f>
        <v/>
      </c>
      <c r="C29" s="23">
        <f>COUNTIFS('Plan de test'!$B$3:$B$147,A29,'Plan de test'!$I$3:$I$147,"OK")</f>
        <v/>
      </c>
      <c r="D29" s="23">
        <f>COUNTIFS('Plan de test'!$B$3:$B$147,A29,'Plan de test'!$I$3:$I$147,"KO")</f>
        <v/>
      </c>
      <c r="E29" s="23">
        <f>COUNTIFS('Plan de test'!$B$3:$B$147,A29,'Plan de test'!$I$3:$I$147,"À tester")</f>
        <v/>
      </c>
      <c r="F29" s="23">
        <f>B29-C29-D29</f>
        <v/>
      </c>
    </row>
    <row r="30">
      <c r="A30" s="17" t="inlineStr">
        <is>
          <t>Comptes signalés</t>
        </is>
      </c>
      <c r="B30" s="23">
        <f>COUNTIF('Plan de test'!$B$3:$B$147,A30)</f>
        <v/>
      </c>
      <c r="C30" s="23">
        <f>COUNTIFS('Plan de test'!$B$3:$B$147,A30,'Plan de test'!$I$3:$I$147,"OK")</f>
        <v/>
      </c>
      <c r="D30" s="23">
        <f>COUNTIFS('Plan de test'!$B$3:$B$147,A30,'Plan de test'!$I$3:$I$147,"KO")</f>
        <v/>
      </c>
      <c r="E30" s="23">
        <f>COUNTIFS('Plan de test'!$B$3:$B$147,A30,'Plan de test'!$I$3:$I$147,"À tester")</f>
        <v/>
      </c>
      <c r="F30" s="23">
        <f>B30-C30-D30</f>
        <v/>
      </c>
    </row>
    <row r="31">
      <c r="A31" s="17" t="inlineStr">
        <is>
          <t>Concours</t>
        </is>
      </c>
      <c r="B31" s="23">
        <f>COUNTIF('Plan de test'!$B$3:$B$147,A31)</f>
        <v/>
      </c>
      <c r="C31" s="23">
        <f>COUNTIFS('Plan de test'!$B$3:$B$147,A31,'Plan de test'!$I$3:$I$147,"OK")</f>
        <v/>
      </c>
      <c r="D31" s="23">
        <f>COUNTIFS('Plan de test'!$B$3:$B$147,A31,'Plan de test'!$I$3:$I$147,"KO")</f>
        <v/>
      </c>
      <c r="E31" s="23">
        <f>COUNTIFS('Plan de test'!$B$3:$B$147,A31,'Plan de test'!$I$3:$I$147,"À tester")</f>
        <v/>
      </c>
      <c r="F31" s="23">
        <f>B31-C31-D31</f>
        <v/>
      </c>
    </row>
    <row r="32">
      <c r="A32" s="17" t="inlineStr">
        <is>
          <t>Messages composés</t>
        </is>
      </c>
      <c r="B32" s="23">
        <f>COUNTIF('Plan de test'!$B$3:$B$147,A32)</f>
        <v/>
      </c>
      <c r="C32" s="23">
        <f>COUNTIFS('Plan de test'!$B$3:$B$147,A32,'Plan de test'!$I$3:$I$147,"OK")</f>
        <v/>
      </c>
      <c r="D32" s="23">
        <f>COUNTIFS('Plan de test'!$B$3:$B$147,A32,'Plan de test'!$I$3:$I$147,"KO")</f>
        <v/>
      </c>
      <c r="E32" s="23">
        <f>COUNTIFS('Plan de test'!$B$3:$B$147,A32,'Plan de test'!$I$3:$I$147,"À tester")</f>
        <v/>
      </c>
      <c r="F32" s="23">
        <f>B32-C32-D32</f>
        <v/>
      </c>
    </row>
    <row r="33">
      <c r="A33" s="17" t="inlineStr">
        <is>
          <t>Wiki</t>
        </is>
      </c>
      <c r="B33" s="23">
        <f>COUNTIF('Plan de test'!$B$3:$B$147,A33)</f>
        <v/>
      </c>
      <c r="C33" s="23">
        <f>COUNTIFS('Plan de test'!$B$3:$B$147,A33,'Plan de test'!$I$3:$I$147,"OK")</f>
        <v/>
      </c>
      <c r="D33" s="23">
        <f>COUNTIFS('Plan de test'!$B$3:$B$147,A33,'Plan de test'!$I$3:$I$147,"KO")</f>
        <v/>
      </c>
      <c r="E33" s="23">
        <f>COUNTIFS('Plan de test'!$B$3:$B$147,A33,'Plan de test'!$I$3:$I$147,"À tester")</f>
        <v/>
      </c>
      <c r="F33" s="23">
        <f>B33-C33-D33</f>
        <v/>
      </c>
    </row>
    <row r="34">
      <c r="A34" s="17" t="inlineStr">
        <is>
          <t>Journaux</t>
        </is>
      </c>
      <c r="B34" s="23">
        <f>COUNTIF('Plan de test'!$B$3:$B$147,A34)</f>
        <v/>
      </c>
      <c r="C34" s="23">
        <f>COUNTIFS('Plan de test'!$B$3:$B$147,A34,'Plan de test'!$I$3:$I$147,"OK")</f>
        <v/>
      </c>
      <c r="D34" s="23">
        <f>COUNTIFS('Plan de test'!$B$3:$B$147,A34,'Plan de test'!$I$3:$I$147,"KO")</f>
        <v/>
      </c>
      <c r="E34" s="23">
        <f>COUNTIFS('Plan de test'!$B$3:$B$147,A34,'Plan de test'!$I$3:$I$147,"À tester")</f>
        <v/>
      </c>
      <c r="F34" s="23">
        <f>B34-C34-D34</f>
        <v/>
      </c>
    </row>
    <row r="35">
      <c r="A35" s="17" t="inlineStr">
        <is>
          <t>Synchronisation</t>
        </is>
      </c>
      <c r="B35" s="23">
        <f>COUNTIF('Plan de test'!$B$3:$B$147,A35)</f>
        <v/>
      </c>
      <c r="C35" s="23">
        <f>COUNTIFS('Plan de test'!$B$3:$B$147,A35,'Plan de test'!$I$3:$I$147,"OK")</f>
        <v/>
      </c>
      <c r="D35" s="23">
        <f>COUNTIFS('Plan de test'!$B$3:$B$147,A35,'Plan de test'!$I$3:$I$147,"KO")</f>
        <v/>
      </c>
      <c r="E35" s="23">
        <f>COUNTIFS('Plan de test'!$B$3:$B$147,A35,'Plan de test'!$I$3:$I$147,"À tester")</f>
        <v/>
      </c>
      <c r="F35" s="23">
        <f>B35-C35-D35</f>
        <v/>
      </c>
    </row>
    <row r="36">
      <c r="A36" s="17" t="inlineStr">
        <is>
          <t>Statut</t>
        </is>
      </c>
      <c r="B36" s="23">
        <f>COUNTIF('Plan de test'!$B$3:$B$147,A36)</f>
        <v/>
      </c>
      <c r="C36" s="23">
        <f>COUNTIFS('Plan de test'!$B$3:$B$147,A36,'Plan de test'!$I$3:$I$147,"OK")</f>
        <v/>
      </c>
      <c r="D36" s="23">
        <f>COUNTIFS('Plan de test'!$B$3:$B$147,A36,'Plan de test'!$I$3:$I$147,"KO")</f>
        <v/>
      </c>
      <c r="E36" s="23">
        <f>COUNTIFS('Plan de test'!$B$3:$B$147,A36,'Plan de test'!$I$3:$I$147,"À tester")</f>
        <v/>
      </c>
      <c r="F36" s="23">
        <f>B36-C36-D36</f>
        <v/>
      </c>
    </row>
    <row r="37">
      <c r="A37" s="17" t="inlineStr">
        <is>
          <t>Interface</t>
        </is>
      </c>
      <c r="B37" s="23">
        <f>COUNTIF('Plan de test'!$B$3:$B$147,A37)</f>
        <v/>
      </c>
      <c r="C37" s="23">
        <f>COUNTIFS('Plan de test'!$B$3:$B$147,A37,'Plan de test'!$I$3:$I$147,"OK")</f>
        <v/>
      </c>
      <c r="D37" s="23">
        <f>COUNTIFS('Plan de test'!$B$3:$B$147,A37,'Plan de test'!$I$3:$I$147,"KO")</f>
        <v/>
      </c>
      <c r="E37" s="23">
        <f>COUNTIFS('Plan de test'!$B$3:$B$147,A37,'Plan de test'!$I$3:$I$147,"À tester")</f>
        <v/>
      </c>
      <c r="F37" s="23">
        <f>B37-C37-D37</f>
        <v/>
      </c>
    </row>
    <row r="38">
      <c r="A38" s="19" t="inlineStr">
        <is>
          <t>Total</t>
        </is>
      </c>
      <c r="B38" s="24">
        <f>SUM(B18:B37)</f>
        <v/>
      </c>
      <c r="C38" s="24">
        <f>SUM(C18:C37)</f>
        <v/>
      </c>
      <c r="D38" s="24">
        <f>SUM(D18:D37)</f>
        <v/>
      </c>
      <c r="E38" s="24">
        <f>SUM(E18:E37)</f>
        <v/>
      </c>
      <c r="F38" s="24">
        <f>SUM(F18:F37)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2026-10-09T21:13:30Z</dcterms:created>
  <dcterms:modified xmlns:dcterms="http://purl.org/dc/terms/" xmlns:xsi="http://www.w3.org/2001/XMLSchema-instance" xsi:type="dcterms:W3CDTF">2026-10-09T21:13:30Z</dcterms:modified>
</cp:coreProperties>
</file>